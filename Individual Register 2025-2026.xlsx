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defaultThemeVersion="124226"/>
  <xr:revisionPtr revIDLastSave="0" documentId="8_{119E3DAC-C911-4700-9C78-3E9D321EFC02}" xr6:coauthVersionLast="47" xr6:coauthVersionMax="47" xr10:uidLastSave="{00000000-0000-0000-0000-000000000000}"/>
  <bookViews>
    <workbookView xWindow="2856" yWindow="2856" windowWidth="17280" windowHeight="8880" tabRatio="917" activeTab="1" xr2:uid="{00000000-000D-0000-FFFF-FFFF00000000}"/>
  </bookViews>
  <sheets>
    <sheet name="Genera A" sheetId="1" r:id="rId1"/>
    <sheet name="Individual Register 2025-2026" sheetId="19" r:id="rId2"/>
    <sheet name="D.Pharm  (A)" sheetId="18" r:id="rId3"/>
    <sheet name="D.Pharm (B)" sheetId="3" r:id="rId4"/>
    <sheet name="B.Pharm I" sheetId="4" r:id="rId5"/>
    <sheet name="B.Pharm I (B)" sheetId="14" r:id="rId6"/>
    <sheet name="B.Pharm II" sheetId="5" r:id="rId7"/>
    <sheet name="B.Pharm II (B)" sheetId="15" r:id="rId8"/>
    <sheet name="B.Pharm III" sheetId="6" r:id="rId9"/>
    <sheet name="B.Pharm III (B)" sheetId="22" r:id="rId10"/>
    <sheet name="B.Pharm IV" sheetId="7" r:id="rId11"/>
    <sheet name="B.Pharm IV (B)" sheetId="16" r:id="rId12"/>
    <sheet name="Summary" sheetId="11" r:id="rId13"/>
    <sheet name="M.Pharm I &amp; II" sheetId="8" r:id="rId14"/>
    <sheet name="M.Pharm I &amp; II (B)" sheetId="17" r:id="rId15"/>
    <sheet name="B.Ed I &amp; II" sheetId="9" r:id="rId16"/>
    <sheet name="B.Ed I &amp; II (B)" sheetId="20" r:id="rId17"/>
    <sheet name="M.Sc I &amp; II " sheetId="10" r:id="rId18"/>
    <sheet name="M.Sc I &amp; II  (B)" sheetId="21" r:id="rId19"/>
    <sheet name="Temporary Adm" sheetId="13" r:id="rId20"/>
    <sheet name="Sheet1" sheetId="23" r:id="rId21"/>
    <sheet name="Sheet2" sheetId="24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3" l="1"/>
  <c r="P35" i="3" l="1"/>
  <c r="K35" i="3"/>
  <c r="J35" i="3"/>
  <c r="I35" i="3"/>
  <c r="H35" i="3"/>
  <c r="L34" i="3"/>
  <c r="L33" i="3"/>
  <c r="L32" i="3"/>
  <c r="L31" i="3"/>
  <c r="L30" i="3"/>
  <c r="L35" i="3" l="1"/>
  <c r="N35" i="3" l="1"/>
  <c r="M102" i="1"/>
  <c r="M498" i="19"/>
  <c r="P29" i="1"/>
  <c r="K29" i="1"/>
  <c r="J29" i="1"/>
  <c r="I29" i="1"/>
  <c r="H29" i="1"/>
  <c r="L28" i="1"/>
  <c r="L27" i="1"/>
  <c r="L26" i="1"/>
  <c r="L25" i="1"/>
  <c r="L24" i="1"/>
  <c r="P11" i="1"/>
  <c r="K11" i="1"/>
  <c r="J11" i="1"/>
  <c r="I11" i="1"/>
  <c r="H11" i="1"/>
  <c r="L10" i="1"/>
  <c r="L9" i="1"/>
  <c r="L8" i="1"/>
  <c r="L7" i="1"/>
  <c r="L6" i="1"/>
  <c r="M60" i="4"/>
  <c r="M109" i="20"/>
  <c r="P107" i="20"/>
  <c r="K107" i="20"/>
  <c r="J107" i="20"/>
  <c r="I107" i="20"/>
  <c r="H107" i="20"/>
  <c r="L106" i="20"/>
  <c r="L105" i="20"/>
  <c r="L104" i="20"/>
  <c r="L103" i="20"/>
  <c r="L102" i="20"/>
  <c r="L107" i="20" s="1"/>
  <c r="N107" i="20" s="1"/>
  <c r="P101" i="20"/>
  <c r="K101" i="20"/>
  <c r="J101" i="20"/>
  <c r="I101" i="20"/>
  <c r="H101" i="20"/>
  <c r="L100" i="20"/>
  <c r="L99" i="20"/>
  <c r="L98" i="20"/>
  <c r="L97" i="20"/>
  <c r="L96" i="20"/>
  <c r="P95" i="20"/>
  <c r="K95" i="20"/>
  <c r="J95" i="20"/>
  <c r="I95" i="20"/>
  <c r="H95" i="20"/>
  <c r="L94" i="20"/>
  <c r="L93" i="20"/>
  <c r="L92" i="20"/>
  <c r="L91" i="20"/>
  <c r="L90" i="20"/>
  <c r="P11" i="9"/>
  <c r="K11" i="9"/>
  <c r="J11" i="9"/>
  <c r="I11" i="9"/>
  <c r="H11" i="9"/>
  <c r="L10" i="9"/>
  <c r="L9" i="9"/>
  <c r="L8" i="9"/>
  <c r="L7" i="9"/>
  <c r="L6" i="9"/>
  <c r="L11" i="9" s="1"/>
  <c r="N11" i="9" s="1"/>
  <c r="M79" i="8"/>
  <c r="M127" i="7"/>
  <c r="P125" i="7"/>
  <c r="K125" i="7"/>
  <c r="J125" i="7"/>
  <c r="I125" i="7"/>
  <c r="H125" i="7"/>
  <c r="L124" i="7"/>
  <c r="L123" i="7"/>
  <c r="L122" i="7"/>
  <c r="L121" i="7"/>
  <c r="L120" i="7"/>
  <c r="P77" i="8"/>
  <c r="K77" i="8"/>
  <c r="J77" i="8"/>
  <c r="I77" i="8"/>
  <c r="H77" i="8"/>
  <c r="L76" i="8"/>
  <c r="L75" i="8"/>
  <c r="L74" i="8"/>
  <c r="L73" i="8"/>
  <c r="L72" i="8"/>
  <c r="P71" i="8"/>
  <c r="K71" i="8"/>
  <c r="J71" i="8"/>
  <c r="I71" i="8"/>
  <c r="H71" i="8"/>
  <c r="L70" i="8"/>
  <c r="L69" i="8"/>
  <c r="L68" i="8"/>
  <c r="L67" i="8"/>
  <c r="L66" i="8"/>
  <c r="P65" i="8"/>
  <c r="K65" i="8"/>
  <c r="J65" i="8"/>
  <c r="I65" i="8"/>
  <c r="H65" i="8"/>
  <c r="L64" i="8"/>
  <c r="L63" i="8"/>
  <c r="L62" i="8"/>
  <c r="L61" i="8"/>
  <c r="L60" i="8"/>
  <c r="P59" i="8"/>
  <c r="K59" i="8"/>
  <c r="J59" i="8"/>
  <c r="I59" i="8"/>
  <c r="H59" i="8"/>
  <c r="L58" i="8"/>
  <c r="L57" i="8"/>
  <c r="L56" i="8"/>
  <c r="L55" i="8"/>
  <c r="L54" i="8"/>
  <c r="L59" i="8" s="1"/>
  <c r="N59" i="8" s="1"/>
  <c r="M114" i="5"/>
  <c r="P113" i="5"/>
  <c r="K113" i="5"/>
  <c r="J113" i="5"/>
  <c r="I113" i="5"/>
  <c r="H113" i="5"/>
  <c r="L112" i="5"/>
  <c r="L111" i="5"/>
  <c r="L110" i="5"/>
  <c r="L109" i="5"/>
  <c r="L108" i="5"/>
  <c r="P107" i="5"/>
  <c r="K107" i="5"/>
  <c r="J107" i="5"/>
  <c r="I107" i="5"/>
  <c r="H107" i="5"/>
  <c r="L106" i="5"/>
  <c r="L105" i="5"/>
  <c r="L104" i="5"/>
  <c r="L103" i="5"/>
  <c r="L102" i="5"/>
  <c r="P101" i="5"/>
  <c r="K101" i="5"/>
  <c r="J101" i="5"/>
  <c r="I101" i="5"/>
  <c r="H101" i="5"/>
  <c r="L100" i="5"/>
  <c r="L99" i="5"/>
  <c r="L98" i="5"/>
  <c r="L97" i="5"/>
  <c r="L96" i="5"/>
  <c r="P95" i="5"/>
  <c r="K95" i="5"/>
  <c r="J95" i="5"/>
  <c r="I95" i="5"/>
  <c r="H95" i="5"/>
  <c r="L94" i="5"/>
  <c r="L93" i="5"/>
  <c r="L92" i="5"/>
  <c r="L91" i="5"/>
  <c r="L90" i="5"/>
  <c r="P89" i="5"/>
  <c r="K89" i="5"/>
  <c r="J89" i="5"/>
  <c r="I89" i="5"/>
  <c r="H89" i="5"/>
  <c r="L88" i="5"/>
  <c r="L87" i="5"/>
  <c r="L86" i="5"/>
  <c r="L85" i="5"/>
  <c r="L84" i="5"/>
  <c r="L65" i="8" l="1"/>
  <c r="N65" i="8" s="1"/>
  <c r="L89" i="5"/>
  <c r="N89" i="5" s="1"/>
  <c r="L125" i="7"/>
  <c r="N125" i="7" s="1"/>
  <c r="L77" i="8"/>
  <c r="N77" i="8" s="1"/>
  <c r="L113" i="5"/>
  <c r="N113" i="5" s="1"/>
  <c r="L101" i="20"/>
  <c r="N101" i="20" s="1"/>
  <c r="L71" i="8"/>
  <c r="N71" i="8" s="1"/>
  <c r="L29" i="1"/>
  <c r="N29" i="1" s="1"/>
  <c r="L11" i="1"/>
  <c r="N11" i="1" s="1"/>
  <c r="L95" i="20"/>
  <c r="N95" i="20" s="1"/>
  <c r="L107" i="5"/>
  <c r="N107" i="5" s="1"/>
  <c r="L95" i="5"/>
  <c r="N95" i="5" s="1"/>
  <c r="L101" i="5"/>
  <c r="N101" i="5" s="1"/>
  <c r="M48" i="16" l="1"/>
  <c r="M109" i="6"/>
  <c r="M60" i="22"/>
  <c r="P59" i="4" l="1"/>
  <c r="P53" i="4"/>
  <c r="P47" i="4"/>
  <c r="P60" i="4" s="1"/>
  <c r="P41" i="4"/>
  <c r="P35" i="4"/>
  <c r="P29" i="4"/>
  <c r="P23" i="4"/>
  <c r="P17" i="4"/>
  <c r="P11" i="4"/>
  <c r="P53" i="8"/>
  <c r="P47" i="8"/>
  <c r="P41" i="8"/>
  <c r="P35" i="8"/>
  <c r="P29" i="8"/>
  <c r="P23" i="8"/>
  <c r="P101" i="1" l="1"/>
  <c r="K101" i="1"/>
  <c r="J101" i="1"/>
  <c r="I101" i="1"/>
  <c r="H101" i="1"/>
  <c r="P95" i="1"/>
  <c r="K95" i="1"/>
  <c r="J95" i="1"/>
  <c r="I95" i="1"/>
  <c r="H95" i="1"/>
  <c r="P89" i="1"/>
  <c r="K89" i="1"/>
  <c r="J89" i="1"/>
  <c r="I89" i="1"/>
  <c r="H89" i="1"/>
  <c r="P83" i="1"/>
  <c r="K83" i="1"/>
  <c r="J83" i="1"/>
  <c r="I83" i="1"/>
  <c r="H83" i="1"/>
  <c r="P77" i="1"/>
  <c r="K77" i="1"/>
  <c r="J77" i="1"/>
  <c r="I77" i="1"/>
  <c r="H77" i="1"/>
  <c r="F32" i="11"/>
  <c r="F31" i="11"/>
  <c r="F29" i="11"/>
  <c r="F30" i="11"/>
  <c r="J740" i="13"/>
  <c r="H738" i="13"/>
  <c r="I737" i="13"/>
  <c r="I736" i="13"/>
  <c r="I735" i="13"/>
  <c r="I734" i="13"/>
  <c r="I733" i="13"/>
  <c r="H732" i="13"/>
  <c r="I731" i="13"/>
  <c r="I730" i="13"/>
  <c r="I729" i="13"/>
  <c r="I728" i="13"/>
  <c r="I727" i="13"/>
  <c r="I738" i="13" l="1"/>
  <c r="K738" i="13"/>
  <c r="I732" i="13"/>
  <c r="K732" i="13" s="1"/>
  <c r="L10" i="17" l="1"/>
  <c r="L9" i="17"/>
  <c r="L8" i="17"/>
  <c r="L7" i="17"/>
  <c r="M42" i="17"/>
  <c r="M49" i="15"/>
  <c r="P47" i="15"/>
  <c r="P41" i="15"/>
  <c r="P35" i="15"/>
  <c r="P29" i="15"/>
  <c r="P23" i="15"/>
  <c r="P17" i="15"/>
  <c r="P11" i="15"/>
  <c r="P119" i="7"/>
  <c r="P113" i="7"/>
  <c r="P107" i="7"/>
  <c r="P101" i="7"/>
  <c r="P95" i="7"/>
  <c r="P89" i="7"/>
  <c r="P83" i="7"/>
  <c r="P77" i="7"/>
  <c r="P71" i="7"/>
  <c r="P65" i="7"/>
  <c r="P59" i="7"/>
  <c r="P53" i="7"/>
  <c r="P47" i="7"/>
  <c r="P41" i="7"/>
  <c r="P35" i="7"/>
  <c r="P29" i="7"/>
  <c r="P23" i="7"/>
  <c r="P17" i="7"/>
  <c r="P11" i="7"/>
  <c r="K119" i="7"/>
  <c r="J119" i="7"/>
  <c r="I119" i="7"/>
  <c r="H119" i="7"/>
  <c r="L118" i="7"/>
  <c r="L117" i="7"/>
  <c r="L116" i="7"/>
  <c r="L115" i="7"/>
  <c r="L114" i="7"/>
  <c r="K113" i="7"/>
  <c r="J113" i="7"/>
  <c r="I113" i="7"/>
  <c r="H113" i="7"/>
  <c r="L112" i="7"/>
  <c r="L111" i="7"/>
  <c r="L110" i="7"/>
  <c r="L109" i="7"/>
  <c r="L108" i="7"/>
  <c r="L113" i="7" s="1"/>
  <c r="N113" i="7" s="1"/>
  <c r="P127" i="7" l="1"/>
  <c r="L119" i="7"/>
  <c r="N119" i="7" s="1"/>
  <c r="H720" i="13"/>
  <c r="I719" i="13"/>
  <c r="I718" i="13"/>
  <c r="I720" i="13" s="1"/>
  <c r="K720" i="13" s="1"/>
  <c r="I717" i="13"/>
  <c r="I716" i="13"/>
  <c r="I715" i="13"/>
  <c r="H714" i="13"/>
  <c r="I713" i="13"/>
  <c r="I712" i="13"/>
  <c r="I711" i="13"/>
  <c r="I714" i="13" s="1"/>
  <c r="K714" i="13" s="1"/>
  <c r="I710" i="13"/>
  <c r="I709" i="13"/>
  <c r="H726" i="13"/>
  <c r="I725" i="13"/>
  <c r="I724" i="13"/>
  <c r="I723" i="13"/>
  <c r="I722" i="13"/>
  <c r="I721" i="13"/>
  <c r="I726" i="13" s="1"/>
  <c r="K726" i="13" s="1"/>
  <c r="P89" i="20" l="1"/>
  <c r="K89" i="20"/>
  <c r="J89" i="20"/>
  <c r="I89" i="20"/>
  <c r="H89" i="20"/>
  <c r="L88" i="20"/>
  <c r="L87" i="20"/>
  <c r="L86" i="20"/>
  <c r="L85" i="20"/>
  <c r="L84" i="20"/>
  <c r="P83" i="20"/>
  <c r="K83" i="20"/>
  <c r="J83" i="20"/>
  <c r="I83" i="20"/>
  <c r="H83" i="20"/>
  <c r="L82" i="20"/>
  <c r="L81" i="20"/>
  <c r="L80" i="20"/>
  <c r="L79" i="20"/>
  <c r="L78" i="20"/>
  <c r="L89" i="20" l="1"/>
  <c r="N89" i="20" s="1"/>
  <c r="L83" i="20"/>
  <c r="N83" i="20" s="1"/>
  <c r="P83" i="5"/>
  <c r="K83" i="5"/>
  <c r="J83" i="5"/>
  <c r="I83" i="5"/>
  <c r="H83" i="5"/>
  <c r="L82" i="5"/>
  <c r="L81" i="5"/>
  <c r="L80" i="5"/>
  <c r="L79" i="5"/>
  <c r="L78" i="5"/>
  <c r="P77" i="5"/>
  <c r="K77" i="5"/>
  <c r="J77" i="5"/>
  <c r="I77" i="5"/>
  <c r="H77" i="5"/>
  <c r="L76" i="5"/>
  <c r="L75" i="5"/>
  <c r="L74" i="5"/>
  <c r="L73" i="5"/>
  <c r="L72" i="5"/>
  <c r="P71" i="5"/>
  <c r="K71" i="5"/>
  <c r="J71" i="5"/>
  <c r="I71" i="5"/>
  <c r="H71" i="5"/>
  <c r="L70" i="5"/>
  <c r="L69" i="5"/>
  <c r="L68" i="5"/>
  <c r="L67" i="5"/>
  <c r="L66" i="5"/>
  <c r="P65" i="5"/>
  <c r="K65" i="5"/>
  <c r="J65" i="5"/>
  <c r="I65" i="5"/>
  <c r="H65" i="5"/>
  <c r="L64" i="5"/>
  <c r="L63" i="5"/>
  <c r="L62" i="5"/>
  <c r="L61" i="5"/>
  <c r="L60" i="5"/>
  <c r="L77" i="5" l="1"/>
  <c r="L83" i="5"/>
  <c r="N83" i="5" s="1"/>
  <c r="L65" i="5"/>
  <c r="N65" i="5" s="1"/>
  <c r="L71" i="5"/>
  <c r="N71" i="5" s="1"/>
  <c r="N77" i="5"/>
  <c r="P59" i="5"/>
  <c r="K59" i="5"/>
  <c r="J59" i="5"/>
  <c r="I59" i="5"/>
  <c r="H59" i="5"/>
  <c r="L58" i="5"/>
  <c r="L57" i="5"/>
  <c r="L56" i="5"/>
  <c r="L55" i="5"/>
  <c r="L54" i="5"/>
  <c r="P53" i="5"/>
  <c r="K53" i="5"/>
  <c r="J53" i="5"/>
  <c r="I53" i="5"/>
  <c r="H53" i="5"/>
  <c r="L52" i="5"/>
  <c r="L51" i="5"/>
  <c r="L50" i="5"/>
  <c r="L49" i="5"/>
  <c r="L48" i="5"/>
  <c r="P47" i="5"/>
  <c r="K47" i="5"/>
  <c r="J47" i="5"/>
  <c r="I47" i="5"/>
  <c r="H47" i="5"/>
  <c r="L46" i="5"/>
  <c r="L45" i="5"/>
  <c r="L44" i="5"/>
  <c r="L43" i="5"/>
  <c r="L42" i="5"/>
  <c r="P41" i="5"/>
  <c r="K41" i="5"/>
  <c r="J41" i="5"/>
  <c r="I41" i="5"/>
  <c r="H41" i="5"/>
  <c r="L40" i="5"/>
  <c r="L39" i="5"/>
  <c r="L38" i="5"/>
  <c r="L37" i="5"/>
  <c r="L36" i="5"/>
  <c r="F8" i="11"/>
  <c r="L59" i="5" l="1"/>
  <c r="N59" i="5" s="1"/>
  <c r="L41" i="5"/>
  <c r="N41" i="5" s="1"/>
  <c r="L47" i="5"/>
  <c r="N47" i="5" s="1"/>
  <c r="L53" i="5"/>
  <c r="N53" i="5" s="1"/>
  <c r="L100" i="1" l="1"/>
  <c r="L99" i="1"/>
  <c r="L98" i="1"/>
  <c r="L97" i="1"/>
  <c r="L96" i="1"/>
  <c r="L94" i="1"/>
  <c r="L93" i="1"/>
  <c r="L92" i="1"/>
  <c r="L91" i="1"/>
  <c r="L90" i="1"/>
  <c r="L88" i="1"/>
  <c r="L87" i="1"/>
  <c r="L86" i="1"/>
  <c r="L85" i="1"/>
  <c r="L84" i="1"/>
  <c r="L82" i="1"/>
  <c r="L81" i="1"/>
  <c r="L80" i="1"/>
  <c r="L79" i="1"/>
  <c r="L78" i="1"/>
  <c r="L76" i="1"/>
  <c r="L75" i="1"/>
  <c r="L74" i="1"/>
  <c r="L73" i="1"/>
  <c r="L72" i="1"/>
  <c r="L70" i="1"/>
  <c r="L69" i="1"/>
  <c r="L68" i="1"/>
  <c r="L67" i="1"/>
  <c r="L66" i="1"/>
  <c r="L64" i="1"/>
  <c r="L63" i="1"/>
  <c r="L62" i="1"/>
  <c r="L61" i="1"/>
  <c r="L60" i="1"/>
  <c r="L58" i="1"/>
  <c r="L57" i="1"/>
  <c r="L56" i="1"/>
  <c r="L55" i="1"/>
  <c r="L54" i="1"/>
  <c r="L52" i="1"/>
  <c r="L51" i="1"/>
  <c r="L50" i="1"/>
  <c r="L49" i="1"/>
  <c r="L48" i="1"/>
  <c r="L46" i="1"/>
  <c r="L45" i="1"/>
  <c r="L44" i="1"/>
  <c r="L43" i="1"/>
  <c r="L42" i="1"/>
  <c r="L40" i="1"/>
  <c r="L39" i="1"/>
  <c r="L38" i="1"/>
  <c r="L37" i="1"/>
  <c r="L36" i="1"/>
  <c r="L30" i="1"/>
  <c r="P497" i="19"/>
  <c r="K497" i="19"/>
  <c r="J497" i="19"/>
  <c r="I497" i="19"/>
  <c r="H497" i="19"/>
  <c r="L495" i="19"/>
  <c r="L494" i="19"/>
  <c r="L493" i="19"/>
  <c r="L492" i="19"/>
  <c r="P491" i="19"/>
  <c r="K491" i="19"/>
  <c r="J491" i="19"/>
  <c r="I491" i="19"/>
  <c r="H491" i="19"/>
  <c r="L490" i="19"/>
  <c r="L489" i="19"/>
  <c r="L488" i="19"/>
  <c r="L487" i="19"/>
  <c r="L486" i="19"/>
  <c r="P485" i="19"/>
  <c r="K485" i="19"/>
  <c r="J485" i="19"/>
  <c r="I485" i="19"/>
  <c r="H485" i="19"/>
  <c r="L484" i="19"/>
  <c r="L483" i="19"/>
  <c r="L482" i="19"/>
  <c r="L481" i="19"/>
  <c r="L480" i="19"/>
  <c r="P479" i="19"/>
  <c r="K479" i="19"/>
  <c r="J479" i="19"/>
  <c r="I479" i="19"/>
  <c r="H479" i="19"/>
  <c r="L478" i="19"/>
  <c r="L477" i="19"/>
  <c r="L476" i="19"/>
  <c r="L475" i="19"/>
  <c r="L474" i="19"/>
  <c r="P473" i="19"/>
  <c r="K473" i="19"/>
  <c r="J473" i="19"/>
  <c r="I473" i="19"/>
  <c r="H473" i="19"/>
  <c r="L472" i="19"/>
  <c r="L471" i="19"/>
  <c r="L470" i="19"/>
  <c r="L469" i="19"/>
  <c r="L468" i="19"/>
  <c r="P467" i="19"/>
  <c r="K467" i="19"/>
  <c r="J467" i="19"/>
  <c r="I467" i="19"/>
  <c r="H467" i="19"/>
  <c r="L466" i="19"/>
  <c r="L465" i="19"/>
  <c r="L464" i="19"/>
  <c r="L463" i="19"/>
  <c r="L462" i="19"/>
  <c r="P461" i="19"/>
  <c r="K461" i="19"/>
  <c r="J461" i="19"/>
  <c r="I461" i="19"/>
  <c r="H461" i="19"/>
  <c r="L460" i="19"/>
  <c r="L459" i="19"/>
  <c r="L458" i="19"/>
  <c r="L457" i="19"/>
  <c r="L456" i="19"/>
  <c r="P455" i="19"/>
  <c r="K455" i="19"/>
  <c r="J455" i="19"/>
  <c r="I455" i="19"/>
  <c r="H455" i="19"/>
  <c r="L454" i="19"/>
  <c r="L453" i="19"/>
  <c r="L452" i="19"/>
  <c r="L451" i="19"/>
  <c r="L450" i="19"/>
  <c r="P449" i="19"/>
  <c r="K449" i="19"/>
  <c r="J449" i="19"/>
  <c r="I449" i="19"/>
  <c r="H449" i="19"/>
  <c r="L448" i="19"/>
  <c r="L447" i="19"/>
  <c r="L446" i="19"/>
  <c r="L445" i="19"/>
  <c r="L444" i="19"/>
  <c r="P443" i="19"/>
  <c r="K443" i="19"/>
  <c r="J443" i="19"/>
  <c r="I443" i="19"/>
  <c r="H443" i="19"/>
  <c r="L442" i="19"/>
  <c r="L441" i="19"/>
  <c r="L440" i="19"/>
  <c r="L439" i="19"/>
  <c r="L438" i="19"/>
  <c r="P437" i="19"/>
  <c r="K437" i="19"/>
  <c r="J437" i="19"/>
  <c r="I437" i="19"/>
  <c r="H437" i="19"/>
  <c r="L436" i="19"/>
  <c r="L435" i="19"/>
  <c r="L434" i="19"/>
  <c r="L433" i="19"/>
  <c r="L432" i="19"/>
  <c r="L437" i="19" s="1"/>
  <c r="N437" i="19" s="1"/>
  <c r="P431" i="19"/>
  <c r="K431" i="19"/>
  <c r="J431" i="19"/>
  <c r="I431" i="19"/>
  <c r="H431" i="19"/>
  <c r="L430" i="19"/>
  <c r="L429" i="19"/>
  <c r="L428" i="19"/>
  <c r="L427" i="19"/>
  <c r="L426" i="19"/>
  <c r="P425" i="19"/>
  <c r="K425" i="19"/>
  <c r="J425" i="19"/>
  <c r="I425" i="19"/>
  <c r="H425" i="19"/>
  <c r="L424" i="19"/>
  <c r="L423" i="19"/>
  <c r="L422" i="19"/>
  <c r="L421" i="19"/>
  <c r="L420" i="19"/>
  <c r="L425" i="19" s="1"/>
  <c r="N425" i="19" s="1"/>
  <c r="P419" i="19"/>
  <c r="K419" i="19"/>
  <c r="J419" i="19"/>
  <c r="I419" i="19"/>
  <c r="H419" i="19"/>
  <c r="L418" i="19"/>
  <c r="L417" i="19"/>
  <c r="L416" i="19"/>
  <c r="L415" i="19"/>
  <c r="L414" i="19"/>
  <c r="P413" i="19"/>
  <c r="K413" i="19"/>
  <c r="J413" i="19"/>
  <c r="I413" i="19"/>
  <c r="H413" i="19"/>
  <c r="L412" i="19"/>
  <c r="L411" i="19"/>
  <c r="L410" i="19"/>
  <c r="L409" i="19"/>
  <c r="L408" i="19"/>
  <c r="P407" i="19"/>
  <c r="K407" i="19"/>
  <c r="J407" i="19"/>
  <c r="I407" i="19"/>
  <c r="H407" i="19"/>
  <c r="L406" i="19"/>
  <c r="L405" i="19"/>
  <c r="L404" i="19"/>
  <c r="L403" i="19"/>
  <c r="L402" i="19"/>
  <c r="P401" i="19"/>
  <c r="K401" i="19"/>
  <c r="J401" i="19"/>
  <c r="I401" i="19"/>
  <c r="H401" i="19"/>
  <c r="L400" i="19"/>
  <c r="L399" i="19"/>
  <c r="L398" i="19"/>
  <c r="L397" i="19"/>
  <c r="L396" i="19"/>
  <c r="L401" i="19" s="1"/>
  <c r="N401" i="19" s="1"/>
  <c r="P395" i="19"/>
  <c r="K395" i="19"/>
  <c r="J395" i="19"/>
  <c r="I395" i="19"/>
  <c r="H395" i="19"/>
  <c r="L394" i="19"/>
  <c r="L393" i="19"/>
  <c r="L392" i="19"/>
  <c r="L391" i="19"/>
  <c r="L390" i="19"/>
  <c r="L395" i="19" s="1"/>
  <c r="N395" i="19" s="1"/>
  <c r="P389" i="19"/>
  <c r="K389" i="19"/>
  <c r="J389" i="19"/>
  <c r="I389" i="19"/>
  <c r="H389" i="19"/>
  <c r="L388" i="19"/>
  <c r="L387" i="19"/>
  <c r="L386" i="19"/>
  <c r="L385" i="19"/>
  <c r="L384" i="19"/>
  <c r="P383" i="19"/>
  <c r="K383" i="19"/>
  <c r="J383" i="19"/>
  <c r="I383" i="19"/>
  <c r="H383" i="19"/>
  <c r="L382" i="19"/>
  <c r="L381" i="19"/>
  <c r="L380" i="19"/>
  <c r="L379" i="19"/>
  <c r="L378" i="19"/>
  <c r="P377" i="19"/>
  <c r="K377" i="19"/>
  <c r="J377" i="19"/>
  <c r="I377" i="19"/>
  <c r="H377" i="19"/>
  <c r="L376" i="19"/>
  <c r="L375" i="19"/>
  <c r="L374" i="19"/>
  <c r="L373" i="19"/>
  <c r="L372" i="19"/>
  <c r="P371" i="19"/>
  <c r="K371" i="19"/>
  <c r="J371" i="19"/>
  <c r="I371" i="19"/>
  <c r="H371" i="19"/>
  <c r="L370" i="19"/>
  <c r="L369" i="19"/>
  <c r="L368" i="19"/>
  <c r="L367" i="19"/>
  <c r="L366" i="19"/>
  <c r="L371" i="19" s="1"/>
  <c r="N371" i="19" s="1"/>
  <c r="P365" i="19"/>
  <c r="K365" i="19"/>
  <c r="J365" i="19"/>
  <c r="I365" i="19"/>
  <c r="H365" i="19"/>
  <c r="L364" i="19"/>
  <c r="L363" i="19"/>
  <c r="L362" i="19"/>
  <c r="L361" i="19"/>
  <c r="L360" i="19"/>
  <c r="P359" i="19"/>
  <c r="K359" i="19"/>
  <c r="J359" i="19"/>
  <c r="I359" i="19"/>
  <c r="H359" i="19"/>
  <c r="L358" i="19"/>
  <c r="L357" i="19"/>
  <c r="L356" i="19"/>
  <c r="L355" i="19"/>
  <c r="L354" i="19"/>
  <c r="L359" i="19" s="1"/>
  <c r="N359" i="19" s="1"/>
  <c r="P353" i="19"/>
  <c r="K353" i="19"/>
  <c r="J353" i="19"/>
  <c r="I353" i="19"/>
  <c r="H353" i="19"/>
  <c r="L352" i="19"/>
  <c r="L351" i="19"/>
  <c r="L350" i="19"/>
  <c r="L349" i="19"/>
  <c r="L348" i="19"/>
  <c r="P347" i="19"/>
  <c r="K347" i="19"/>
  <c r="J347" i="19"/>
  <c r="I347" i="19"/>
  <c r="H347" i="19"/>
  <c r="L346" i="19"/>
  <c r="L345" i="19"/>
  <c r="L344" i="19"/>
  <c r="L343" i="19"/>
  <c r="L342" i="19"/>
  <c r="P341" i="19"/>
  <c r="K341" i="19"/>
  <c r="J341" i="19"/>
  <c r="I341" i="19"/>
  <c r="H341" i="19"/>
  <c r="L340" i="19"/>
  <c r="L339" i="19"/>
  <c r="L338" i="19"/>
  <c r="L337" i="19"/>
  <c r="L336" i="19"/>
  <c r="P335" i="19"/>
  <c r="K335" i="19"/>
  <c r="J335" i="19"/>
  <c r="I335" i="19"/>
  <c r="H335" i="19"/>
  <c r="L334" i="19"/>
  <c r="L333" i="19"/>
  <c r="L332" i="19"/>
  <c r="L331" i="19"/>
  <c r="L330" i="19"/>
  <c r="L335" i="19" s="1"/>
  <c r="N335" i="19" s="1"/>
  <c r="P329" i="19"/>
  <c r="K329" i="19"/>
  <c r="J329" i="19"/>
  <c r="I329" i="19"/>
  <c r="H329" i="19"/>
  <c r="L328" i="19"/>
  <c r="L327" i="19"/>
  <c r="L326" i="19"/>
  <c r="L325" i="19"/>
  <c r="L324" i="19"/>
  <c r="P323" i="19"/>
  <c r="K323" i="19"/>
  <c r="J323" i="19"/>
  <c r="I323" i="19"/>
  <c r="H323" i="19"/>
  <c r="L322" i="19"/>
  <c r="L321" i="19"/>
  <c r="L320" i="19"/>
  <c r="L319" i="19"/>
  <c r="L318" i="19"/>
  <c r="L323" i="19" s="1"/>
  <c r="N323" i="19" s="1"/>
  <c r="P317" i="19"/>
  <c r="K317" i="19"/>
  <c r="J317" i="19"/>
  <c r="I317" i="19"/>
  <c r="H317" i="19"/>
  <c r="L316" i="19"/>
  <c r="L315" i="19"/>
  <c r="L314" i="19"/>
  <c r="L313" i="19"/>
  <c r="L312" i="19"/>
  <c r="P311" i="19"/>
  <c r="K311" i="19"/>
  <c r="J311" i="19"/>
  <c r="I311" i="19"/>
  <c r="H311" i="19"/>
  <c r="L310" i="19"/>
  <c r="L309" i="19"/>
  <c r="L308" i="19"/>
  <c r="L307" i="19"/>
  <c r="L306" i="19"/>
  <c r="P305" i="19"/>
  <c r="K305" i="19"/>
  <c r="J305" i="19"/>
  <c r="I305" i="19"/>
  <c r="H305" i="19"/>
  <c r="L304" i="19"/>
  <c r="L303" i="19"/>
  <c r="L302" i="19"/>
  <c r="L301" i="19"/>
  <c r="L300" i="19"/>
  <c r="P299" i="19"/>
  <c r="K299" i="19"/>
  <c r="J299" i="19"/>
  <c r="I299" i="19"/>
  <c r="H299" i="19"/>
  <c r="L298" i="19"/>
  <c r="L297" i="19"/>
  <c r="L296" i="19"/>
  <c r="L295" i="19"/>
  <c r="L294" i="19"/>
  <c r="P287" i="19"/>
  <c r="K287" i="19"/>
  <c r="J287" i="19"/>
  <c r="I287" i="19"/>
  <c r="H287" i="19"/>
  <c r="L286" i="19"/>
  <c r="L285" i="19"/>
  <c r="L284" i="19"/>
  <c r="L283" i="19"/>
  <c r="L282" i="19"/>
  <c r="L34" i="1"/>
  <c r="L33" i="1"/>
  <c r="L32" i="1"/>
  <c r="L31" i="1"/>
  <c r="P293" i="19"/>
  <c r="K293" i="19"/>
  <c r="J293" i="19"/>
  <c r="I293" i="19"/>
  <c r="H293" i="19"/>
  <c r="L292" i="19"/>
  <c r="L291" i="19"/>
  <c r="L290" i="19"/>
  <c r="L289" i="19"/>
  <c r="L288" i="19"/>
  <c r="P281" i="19"/>
  <c r="K281" i="19"/>
  <c r="J281" i="19"/>
  <c r="I281" i="19"/>
  <c r="H281" i="19"/>
  <c r="L280" i="19"/>
  <c r="L279" i="19"/>
  <c r="L278" i="19"/>
  <c r="L277" i="19"/>
  <c r="L276" i="19"/>
  <c r="P275" i="19"/>
  <c r="K275" i="19"/>
  <c r="J275" i="19"/>
  <c r="I275" i="19"/>
  <c r="H275" i="19"/>
  <c r="L274" i="19"/>
  <c r="L273" i="19"/>
  <c r="L272" i="19"/>
  <c r="L271" i="19"/>
  <c r="L270" i="19"/>
  <c r="P269" i="19"/>
  <c r="K269" i="19"/>
  <c r="J269" i="19"/>
  <c r="I269" i="19"/>
  <c r="H269" i="19"/>
  <c r="L268" i="19"/>
  <c r="L267" i="19"/>
  <c r="L266" i="19"/>
  <c r="L265" i="19"/>
  <c r="L264" i="19"/>
  <c r="P263" i="19"/>
  <c r="K263" i="19"/>
  <c r="J263" i="19"/>
  <c r="I263" i="19"/>
  <c r="H263" i="19"/>
  <c r="L262" i="19"/>
  <c r="L261" i="19"/>
  <c r="L260" i="19"/>
  <c r="L259" i="19"/>
  <c r="L258" i="19"/>
  <c r="P257" i="19"/>
  <c r="K257" i="19"/>
  <c r="J257" i="19"/>
  <c r="I257" i="19"/>
  <c r="H257" i="19"/>
  <c r="L256" i="19"/>
  <c r="L255" i="19"/>
  <c r="L254" i="19"/>
  <c r="L253" i="19"/>
  <c r="L252" i="19"/>
  <c r="P251" i="19"/>
  <c r="K251" i="19"/>
  <c r="J251" i="19"/>
  <c r="I251" i="19"/>
  <c r="H251" i="19"/>
  <c r="L250" i="19"/>
  <c r="L249" i="19"/>
  <c r="L248" i="19"/>
  <c r="L247" i="19"/>
  <c r="L246" i="19"/>
  <c r="L251" i="19" s="1"/>
  <c r="N251" i="19" s="1"/>
  <c r="P245" i="19"/>
  <c r="K245" i="19"/>
  <c r="J245" i="19"/>
  <c r="I245" i="19"/>
  <c r="H245" i="19"/>
  <c r="L244" i="19"/>
  <c r="L243" i="19"/>
  <c r="L242" i="19"/>
  <c r="L241" i="19"/>
  <c r="L240" i="19"/>
  <c r="P239" i="19"/>
  <c r="K239" i="19"/>
  <c r="J239" i="19"/>
  <c r="I239" i="19"/>
  <c r="H239" i="19"/>
  <c r="L238" i="19"/>
  <c r="L237" i="19"/>
  <c r="L236" i="19"/>
  <c r="L235" i="19"/>
  <c r="L234" i="19"/>
  <c r="L239" i="19" s="1"/>
  <c r="N239" i="19" s="1"/>
  <c r="P233" i="19"/>
  <c r="K233" i="19"/>
  <c r="J233" i="19"/>
  <c r="I233" i="19"/>
  <c r="H233" i="19"/>
  <c r="L232" i="19"/>
  <c r="L231" i="19"/>
  <c r="L230" i="19"/>
  <c r="L229" i="19"/>
  <c r="L228" i="19"/>
  <c r="P227" i="19"/>
  <c r="K227" i="19"/>
  <c r="J227" i="19"/>
  <c r="I227" i="19"/>
  <c r="H227" i="19"/>
  <c r="L226" i="19"/>
  <c r="L225" i="19"/>
  <c r="L224" i="19"/>
  <c r="L223" i="19"/>
  <c r="L222" i="19"/>
  <c r="P221" i="19"/>
  <c r="K221" i="19"/>
  <c r="J221" i="19"/>
  <c r="I221" i="19"/>
  <c r="H221" i="19"/>
  <c r="L220" i="19"/>
  <c r="L219" i="19"/>
  <c r="L218" i="19"/>
  <c r="L217" i="19"/>
  <c r="L216" i="19"/>
  <c r="P215" i="19"/>
  <c r="K215" i="19"/>
  <c r="J215" i="19"/>
  <c r="I215" i="19"/>
  <c r="H215" i="19"/>
  <c r="L214" i="19"/>
  <c r="L213" i="19"/>
  <c r="L212" i="19"/>
  <c r="L211" i="19"/>
  <c r="L210" i="19"/>
  <c r="L215" i="19" s="1"/>
  <c r="N215" i="19" s="1"/>
  <c r="P47" i="16"/>
  <c r="K47" i="16"/>
  <c r="J47" i="16"/>
  <c r="I47" i="16"/>
  <c r="H47" i="16"/>
  <c r="L46" i="16"/>
  <c r="L45" i="16"/>
  <c r="L44" i="16"/>
  <c r="L43" i="16"/>
  <c r="L42" i="16"/>
  <c r="L47" i="16" s="1"/>
  <c r="N47" i="16" s="1"/>
  <c r="P41" i="16"/>
  <c r="K41" i="16"/>
  <c r="J41" i="16"/>
  <c r="I41" i="16"/>
  <c r="H41" i="16"/>
  <c r="L40" i="16"/>
  <c r="L39" i="16"/>
  <c r="L38" i="16"/>
  <c r="L37" i="16"/>
  <c r="L36" i="16"/>
  <c r="P35" i="16"/>
  <c r="K35" i="16"/>
  <c r="J35" i="16"/>
  <c r="I35" i="16"/>
  <c r="H35" i="16"/>
  <c r="L34" i="16"/>
  <c r="L33" i="16"/>
  <c r="L32" i="16"/>
  <c r="L31" i="16"/>
  <c r="L30" i="16"/>
  <c r="L35" i="16" s="1"/>
  <c r="N35" i="16" s="1"/>
  <c r="P29" i="16"/>
  <c r="K29" i="16"/>
  <c r="J29" i="16"/>
  <c r="I29" i="16"/>
  <c r="H29" i="16"/>
  <c r="L28" i="16"/>
  <c r="L27" i="16"/>
  <c r="L26" i="16"/>
  <c r="L25" i="16"/>
  <c r="L24" i="16"/>
  <c r="L497" i="19" l="1"/>
  <c r="N497" i="19" s="1"/>
  <c r="L227" i="19"/>
  <c r="N227" i="19" s="1"/>
  <c r="L263" i="19"/>
  <c r="N263" i="19" s="1"/>
  <c r="L311" i="19"/>
  <c r="N311" i="19" s="1"/>
  <c r="L347" i="19"/>
  <c r="N347" i="19" s="1"/>
  <c r="L383" i="19"/>
  <c r="N383" i="19" s="1"/>
  <c r="L413" i="19"/>
  <c r="N413" i="19" s="1"/>
  <c r="L485" i="19"/>
  <c r="N485" i="19" s="1"/>
  <c r="L89" i="1"/>
  <c r="N89" i="1" s="1"/>
  <c r="L281" i="19"/>
  <c r="N281" i="19" s="1"/>
  <c r="L287" i="19"/>
  <c r="N287" i="19" s="1"/>
  <c r="L305" i="19"/>
  <c r="N305" i="19" s="1"/>
  <c r="L341" i="19"/>
  <c r="N341" i="19" s="1"/>
  <c r="L377" i="19"/>
  <c r="N377" i="19" s="1"/>
  <c r="L389" i="19"/>
  <c r="N389" i="19" s="1"/>
  <c r="L461" i="19"/>
  <c r="N461" i="19" s="1"/>
  <c r="L95" i="1"/>
  <c r="N95" i="1" s="1"/>
  <c r="L83" i="1"/>
  <c r="N83" i="1" s="1"/>
  <c r="L77" i="1"/>
  <c r="N77" i="1" s="1"/>
  <c r="L101" i="1"/>
  <c r="N101" i="1" s="1"/>
  <c r="L365" i="19"/>
  <c r="N365" i="19" s="1"/>
  <c r="L317" i="19"/>
  <c r="N317" i="19" s="1"/>
  <c r="L221" i="19"/>
  <c r="N221" i="19" s="1"/>
  <c r="L245" i="19"/>
  <c r="N245" i="19" s="1"/>
  <c r="L419" i="19"/>
  <c r="N419" i="19" s="1"/>
  <c r="L443" i="19"/>
  <c r="N443" i="19" s="1"/>
  <c r="L467" i="19"/>
  <c r="N467" i="19" s="1"/>
  <c r="L473" i="19"/>
  <c r="N473" i="19" s="1"/>
  <c r="L491" i="19"/>
  <c r="N491" i="19" s="1"/>
  <c r="L275" i="19"/>
  <c r="N275" i="19" s="1"/>
  <c r="L329" i="19"/>
  <c r="N329" i="19" s="1"/>
  <c r="L353" i="19"/>
  <c r="N353" i="19" s="1"/>
  <c r="L449" i="19"/>
  <c r="N449" i="19" s="1"/>
  <c r="L233" i="19"/>
  <c r="N233" i="19" s="1"/>
  <c r="L257" i="19"/>
  <c r="N257" i="19" s="1"/>
  <c r="L407" i="19"/>
  <c r="N407" i="19" s="1"/>
  <c r="L431" i="19"/>
  <c r="N431" i="19" s="1"/>
  <c r="L455" i="19"/>
  <c r="N455" i="19" s="1"/>
  <c r="L479" i="19"/>
  <c r="N479" i="19" s="1"/>
  <c r="L299" i="19"/>
  <c r="L293" i="19"/>
  <c r="N293" i="19" s="1"/>
  <c r="L269" i="19"/>
  <c r="N269" i="19" s="1"/>
  <c r="L29" i="16"/>
  <c r="N29" i="16" s="1"/>
  <c r="L41" i="16"/>
  <c r="N41" i="16" s="1"/>
  <c r="N299" i="19" l="1"/>
  <c r="H552" i="13"/>
  <c r="I551" i="13"/>
  <c r="I550" i="13"/>
  <c r="I549" i="13"/>
  <c r="I548" i="13"/>
  <c r="I547" i="13"/>
  <c r="I552" i="13" l="1"/>
  <c r="K552" i="13" s="1"/>
  <c r="H708" i="13" l="1"/>
  <c r="I707" i="13"/>
  <c r="I706" i="13"/>
  <c r="I705" i="13"/>
  <c r="I704" i="13"/>
  <c r="I703" i="13"/>
  <c r="H702" i="13"/>
  <c r="I701" i="13"/>
  <c r="I700" i="13"/>
  <c r="I699" i="13"/>
  <c r="I698" i="13"/>
  <c r="I697" i="13"/>
  <c r="H696" i="13"/>
  <c r="I695" i="13"/>
  <c r="I694" i="13"/>
  <c r="I693" i="13"/>
  <c r="I692" i="13"/>
  <c r="I691" i="13"/>
  <c r="H690" i="13"/>
  <c r="I689" i="13"/>
  <c r="I688" i="13"/>
  <c r="I687" i="13"/>
  <c r="I686" i="13"/>
  <c r="I685" i="13"/>
  <c r="I690" i="13" s="1"/>
  <c r="H684" i="13"/>
  <c r="I683" i="13"/>
  <c r="I682" i="13"/>
  <c r="I681" i="13"/>
  <c r="I680" i="13"/>
  <c r="I679" i="13"/>
  <c r="H678" i="13"/>
  <c r="I677" i="13"/>
  <c r="I676" i="13"/>
  <c r="I675" i="13"/>
  <c r="I674" i="13"/>
  <c r="I673" i="13"/>
  <c r="I678" i="13" s="1"/>
  <c r="K678" i="13" s="1"/>
  <c r="H672" i="13"/>
  <c r="I671" i="13"/>
  <c r="I670" i="13"/>
  <c r="I669" i="13"/>
  <c r="I668" i="13"/>
  <c r="I667" i="13"/>
  <c r="H666" i="13"/>
  <c r="I665" i="13"/>
  <c r="I664" i="13"/>
  <c r="I663" i="13"/>
  <c r="I662" i="13"/>
  <c r="I661" i="13"/>
  <c r="I666" i="13" s="1"/>
  <c r="K666" i="13" s="1"/>
  <c r="H660" i="13"/>
  <c r="I659" i="13"/>
  <c r="I658" i="13"/>
  <c r="I657" i="13"/>
  <c r="I656" i="13"/>
  <c r="I655" i="13"/>
  <c r="H654" i="13"/>
  <c r="I653" i="13"/>
  <c r="I652" i="13"/>
  <c r="I651" i="13"/>
  <c r="I650" i="13"/>
  <c r="I649" i="13"/>
  <c r="I654" i="13" s="1"/>
  <c r="K654" i="13" s="1"/>
  <c r="H648" i="13"/>
  <c r="I647" i="13"/>
  <c r="I646" i="13"/>
  <c r="I645" i="13"/>
  <c r="I644" i="13"/>
  <c r="I643" i="13"/>
  <c r="H642" i="13"/>
  <c r="I641" i="13"/>
  <c r="I640" i="13"/>
  <c r="I639" i="13"/>
  <c r="I638" i="13"/>
  <c r="I637" i="13"/>
  <c r="I642" i="13" s="1"/>
  <c r="K642" i="13" s="1"/>
  <c r="H636" i="13"/>
  <c r="I635" i="13"/>
  <c r="I634" i="13"/>
  <c r="I633" i="13"/>
  <c r="I632" i="13"/>
  <c r="I631" i="13"/>
  <c r="H630" i="13"/>
  <c r="I629" i="13"/>
  <c r="I628" i="13"/>
  <c r="I627" i="13"/>
  <c r="I626" i="13"/>
  <c r="I625" i="13"/>
  <c r="I630" i="13" s="1"/>
  <c r="K630" i="13" s="1"/>
  <c r="H624" i="13"/>
  <c r="I623" i="13"/>
  <c r="I622" i="13"/>
  <c r="I621" i="13"/>
  <c r="I620" i="13"/>
  <c r="I619" i="13"/>
  <c r="H618" i="13"/>
  <c r="I617" i="13"/>
  <c r="I616" i="13"/>
  <c r="I615" i="13"/>
  <c r="I614" i="13"/>
  <c r="I613" i="13"/>
  <c r="I618" i="13" s="1"/>
  <c r="K618" i="13" s="1"/>
  <c r="H612" i="13"/>
  <c r="I611" i="13"/>
  <c r="I610" i="13"/>
  <c r="I609" i="13"/>
  <c r="I608" i="13"/>
  <c r="I607" i="13"/>
  <c r="H606" i="13"/>
  <c r="I605" i="13"/>
  <c r="I604" i="13"/>
  <c r="I603" i="13"/>
  <c r="I602" i="13"/>
  <c r="I601" i="13"/>
  <c r="I606" i="13" s="1"/>
  <c r="K606" i="13" s="1"/>
  <c r="H600" i="13"/>
  <c r="I599" i="13"/>
  <c r="I598" i="13"/>
  <c r="I597" i="13"/>
  <c r="I596" i="13"/>
  <c r="I595" i="13"/>
  <c r="H594" i="13"/>
  <c r="I593" i="13"/>
  <c r="I592" i="13"/>
  <c r="I591" i="13"/>
  <c r="I590" i="13"/>
  <c r="I589" i="13"/>
  <c r="I594" i="13" s="1"/>
  <c r="K594" i="13" s="1"/>
  <c r="H588" i="13"/>
  <c r="I587" i="13"/>
  <c r="I586" i="13"/>
  <c r="I585" i="13"/>
  <c r="I584" i="13"/>
  <c r="I583" i="13"/>
  <c r="H582" i="13"/>
  <c r="I581" i="13"/>
  <c r="I580" i="13"/>
  <c r="I579" i="13"/>
  <c r="I578" i="13"/>
  <c r="I577" i="13"/>
  <c r="I582" i="13" s="1"/>
  <c r="K582" i="13" s="1"/>
  <c r="H576" i="13"/>
  <c r="I575" i="13"/>
  <c r="I574" i="13"/>
  <c r="I573" i="13"/>
  <c r="I572" i="13"/>
  <c r="I571" i="13"/>
  <c r="H570" i="13"/>
  <c r="I569" i="13"/>
  <c r="I568" i="13"/>
  <c r="I567" i="13"/>
  <c r="I566" i="13"/>
  <c r="I565" i="13"/>
  <c r="I570" i="13" s="1"/>
  <c r="K570" i="13" s="1"/>
  <c r="A49" i="13"/>
  <c r="A55" i="13" s="1"/>
  <c r="K690" i="13" l="1"/>
  <c r="I576" i="13"/>
  <c r="K576" i="13" s="1"/>
  <c r="I588" i="13"/>
  <c r="K588" i="13" s="1"/>
  <c r="I600" i="13"/>
  <c r="K600" i="13" s="1"/>
  <c r="I612" i="13"/>
  <c r="K612" i="13" s="1"/>
  <c r="I624" i="13"/>
  <c r="K624" i="13" s="1"/>
  <c r="I636" i="13"/>
  <c r="K636" i="13" s="1"/>
  <c r="I648" i="13"/>
  <c r="K648" i="13" s="1"/>
  <c r="I660" i="13"/>
  <c r="K660" i="13" s="1"/>
  <c r="I672" i="13"/>
  <c r="K672" i="13" s="1"/>
  <c r="I684" i="13"/>
  <c r="K684" i="13" s="1"/>
  <c r="I696" i="13"/>
  <c r="K696" i="13" s="1"/>
  <c r="I702" i="13"/>
  <c r="K702" i="13" s="1"/>
  <c r="I708" i="13"/>
  <c r="K708" i="13" s="1"/>
  <c r="H174" i="13"/>
  <c r="I173" i="13"/>
  <c r="I172" i="13"/>
  <c r="I171" i="13"/>
  <c r="I170" i="13"/>
  <c r="I169" i="13"/>
  <c r="H48" i="13"/>
  <c r="I47" i="13"/>
  <c r="I46" i="13"/>
  <c r="I45" i="13"/>
  <c r="I44" i="13"/>
  <c r="I43" i="13"/>
  <c r="A61" i="13"/>
  <c r="A73" i="13"/>
  <c r="A85" i="13"/>
  <c r="A97" i="13"/>
  <c r="A109" i="13"/>
  <c r="A121" i="13"/>
  <c r="A133" i="13"/>
  <c r="A145" i="13"/>
  <c r="A157" i="13"/>
  <c r="A187" i="13"/>
  <c r="A199" i="13"/>
  <c r="A211" i="13"/>
  <c r="A223" i="13"/>
  <c r="A235" i="13"/>
  <c r="A247" i="13"/>
  <c r="A259" i="13"/>
  <c r="A271" i="13"/>
  <c r="A283" i="13"/>
  <c r="A295" i="13"/>
  <c r="A307" i="13"/>
  <c r="A319" i="13"/>
  <c r="A331" i="13"/>
  <c r="A343" i="13"/>
  <c r="A355" i="13"/>
  <c r="A367" i="13"/>
  <c r="A379" i="13"/>
  <c r="A391" i="13"/>
  <c r="A403" i="13"/>
  <c r="A415" i="13"/>
  <c r="A427" i="13"/>
  <c r="A439" i="13"/>
  <c r="A451" i="13"/>
  <c r="A463" i="13"/>
  <c r="A475" i="13"/>
  <c r="A487" i="13"/>
  <c r="A499" i="13"/>
  <c r="A511" i="13"/>
  <c r="A523" i="13"/>
  <c r="A535" i="13"/>
  <c r="H42" i="13"/>
  <c r="I41" i="13"/>
  <c r="I40" i="13"/>
  <c r="I39" i="13"/>
  <c r="I38" i="13"/>
  <c r="I37" i="13"/>
  <c r="R11" i="6"/>
  <c r="P17" i="8"/>
  <c r="K17" i="8"/>
  <c r="J17" i="8"/>
  <c r="I17" i="8"/>
  <c r="H17" i="8"/>
  <c r="L16" i="8"/>
  <c r="L15" i="8"/>
  <c r="L14" i="8"/>
  <c r="L13" i="8"/>
  <c r="L12" i="8"/>
  <c r="P11" i="8"/>
  <c r="K11" i="8"/>
  <c r="J11" i="8"/>
  <c r="I11" i="8"/>
  <c r="H11" i="8"/>
  <c r="L10" i="8"/>
  <c r="L9" i="8"/>
  <c r="L8" i="8"/>
  <c r="L7" i="8"/>
  <c r="L6" i="8"/>
  <c r="L17" i="8" l="1"/>
  <c r="N17" i="8" s="1"/>
  <c r="P79" i="8"/>
  <c r="L11" i="8"/>
  <c r="N11" i="8" s="1"/>
  <c r="I174" i="13"/>
  <c r="K174" i="13" s="1"/>
  <c r="I48" i="13"/>
  <c r="K48" i="13" s="1"/>
  <c r="I42" i="13"/>
  <c r="K42" i="13" s="1"/>
  <c r="H564" i="13"/>
  <c r="I563" i="13"/>
  <c r="I562" i="13"/>
  <c r="I561" i="13"/>
  <c r="I560" i="13"/>
  <c r="I559" i="13"/>
  <c r="H558" i="13"/>
  <c r="I557" i="13"/>
  <c r="I556" i="13"/>
  <c r="I555" i="13"/>
  <c r="I554" i="13"/>
  <c r="I553" i="13"/>
  <c r="H546" i="13"/>
  <c r="I545" i="13"/>
  <c r="I544" i="13"/>
  <c r="I543" i="13"/>
  <c r="I542" i="13"/>
  <c r="I541" i="13"/>
  <c r="H540" i="13"/>
  <c r="I539" i="13"/>
  <c r="I538" i="13"/>
  <c r="I537" i="13"/>
  <c r="I536" i="13"/>
  <c r="I535" i="13"/>
  <c r="H534" i="13"/>
  <c r="I533" i="13"/>
  <c r="I532" i="13"/>
  <c r="I531" i="13"/>
  <c r="I530" i="13"/>
  <c r="I529" i="13"/>
  <c r="H528" i="13"/>
  <c r="I527" i="13"/>
  <c r="I526" i="13"/>
  <c r="I525" i="13"/>
  <c r="I524" i="13"/>
  <c r="I523" i="13"/>
  <c r="H522" i="13"/>
  <c r="I521" i="13"/>
  <c r="I520" i="13"/>
  <c r="I519" i="13"/>
  <c r="I518" i="13"/>
  <c r="I517" i="13"/>
  <c r="L22" i="1"/>
  <c r="L21" i="1"/>
  <c r="L20" i="1"/>
  <c r="L19" i="1"/>
  <c r="L18" i="1"/>
  <c r="L23" i="1" s="1"/>
  <c r="N23" i="1" s="1"/>
  <c r="P71" i="1"/>
  <c r="L71" i="1"/>
  <c r="K71" i="1"/>
  <c r="J71" i="1"/>
  <c r="I71" i="1"/>
  <c r="H71" i="1"/>
  <c r="P65" i="1"/>
  <c r="L65" i="1"/>
  <c r="N65" i="1" s="1"/>
  <c r="K65" i="1"/>
  <c r="J65" i="1"/>
  <c r="I65" i="1"/>
  <c r="H65" i="1"/>
  <c r="P59" i="1"/>
  <c r="L59" i="1"/>
  <c r="N59" i="1" s="1"/>
  <c r="K59" i="1"/>
  <c r="J59" i="1"/>
  <c r="I59" i="1"/>
  <c r="H59" i="1"/>
  <c r="P53" i="1"/>
  <c r="L53" i="1"/>
  <c r="N53" i="1" s="1"/>
  <c r="K53" i="1"/>
  <c r="J53" i="1"/>
  <c r="I53" i="1"/>
  <c r="H53" i="1"/>
  <c r="P47" i="1"/>
  <c r="L47" i="1"/>
  <c r="N47" i="1" s="1"/>
  <c r="K47" i="1"/>
  <c r="J47" i="1"/>
  <c r="I47" i="1"/>
  <c r="H47" i="1"/>
  <c r="P41" i="1"/>
  <c r="L41" i="1"/>
  <c r="N41" i="1" s="1"/>
  <c r="K41" i="1"/>
  <c r="J41" i="1"/>
  <c r="I41" i="1"/>
  <c r="H41" i="1"/>
  <c r="P35" i="1"/>
  <c r="L35" i="1"/>
  <c r="K35" i="1"/>
  <c r="J35" i="1"/>
  <c r="I35" i="1"/>
  <c r="H35" i="1"/>
  <c r="P23" i="1"/>
  <c r="K23" i="1"/>
  <c r="J23" i="1"/>
  <c r="I23" i="1"/>
  <c r="H23" i="1"/>
  <c r="P17" i="1"/>
  <c r="P209" i="19"/>
  <c r="K209" i="19"/>
  <c r="J209" i="19"/>
  <c r="I209" i="19"/>
  <c r="H209" i="19"/>
  <c r="L208" i="19"/>
  <c r="L207" i="19"/>
  <c r="L206" i="19"/>
  <c r="L205" i="19"/>
  <c r="L204" i="19"/>
  <c r="P203" i="19"/>
  <c r="K203" i="19"/>
  <c r="J203" i="19"/>
  <c r="I203" i="19"/>
  <c r="H203" i="19"/>
  <c r="L202" i="19"/>
  <c r="L201" i="19"/>
  <c r="L200" i="19"/>
  <c r="L199" i="19"/>
  <c r="L198" i="19"/>
  <c r="P197" i="19"/>
  <c r="K197" i="19"/>
  <c r="J197" i="19"/>
  <c r="I197" i="19"/>
  <c r="H197" i="19"/>
  <c r="L196" i="19"/>
  <c r="L195" i="19"/>
  <c r="L194" i="19"/>
  <c r="L193" i="19"/>
  <c r="L192" i="19"/>
  <c r="P191" i="19"/>
  <c r="K191" i="19"/>
  <c r="J191" i="19"/>
  <c r="I191" i="19"/>
  <c r="H191" i="19"/>
  <c r="L190" i="19"/>
  <c r="L189" i="19"/>
  <c r="L188" i="19"/>
  <c r="L187" i="19"/>
  <c r="L186" i="19"/>
  <c r="P185" i="19"/>
  <c r="K185" i="19"/>
  <c r="J185" i="19"/>
  <c r="I185" i="19"/>
  <c r="H185" i="19"/>
  <c r="L184" i="19"/>
  <c r="L183" i="19"/>
  <c r="L182" i="19"/>
  <c r="L181" i="19"/>
  <c r="L180" i="19"/>
  <c r="P179" i="19"/>
  <c r="K179" i="19"/>
  <c r="J179" i="19"/>
  <c r="I179" i="19"/>
  <c r="H179" i="19"/>
  <c r="L178" i="19"/>
  <c r="L177" i="19"/>
  <c r="L176" i="19"/>
  <c r="L175" i="19"/>
  <c r="L174" i="19"/>
  <c r="P173" i="19"/>
  <c r="K173" i="19"/>
  <c r="J173" i="19"/>
  <c r="I173" i="19"/>
  <c r="H173" i="19"/>
  <c r="L172" i="19"/>
  <c r="L171" i="19"/>
  <c r="L170" i="19"/>
  <c r="L169" i="19"/>
  <c r="L168" i="19"/>
  <c r="P167" i="19"/>
  <c r="K167" i="19"/>
  <c r="J167" i="19"/>
  <c r="I167" i="19"/>
  <c r="H167" i="19"/>
  <c r="L166" i="19"/>
  <c r="L165" i="19"/>
  <c r="L164" i="19"/>
  <c r="L163" i="19"/>
  <c r="L162" i="19"/>
  <c r="P161" i="19"/>
  <c r="K161" i="19"/>
  <c r="J161" i="19"/>
  <c r="I161" i="19"/>
  <c r="H161" i="19"/>
  <c r="L160" i="19"/>
  <c r="L159" i="19"/>
  <c r="L158" i="19"/>
  <c r="L157" i="19"/>
  <c r="L156" i="19"/>
  <c r="L161" i="19" s="1"/>
  <c r="N161" i="19" s="1"/>
  <c r="P155" i="19"/>
  <c r="K155" i="19"/>
  <c r="J155" i="19"/>
  <c r="I155" i="19"/>
  <c r="H155" i="19"/>
  <c r="L154" i="19"/>
  <c r="L153" i="19"/>
  <c r="L152" i="19"/>
  <c r="L151" i="19"/>
  <c r="L150" i="19"/>
  <c r="P149" i="19"/>
  <c r="K149" i="19"/>
  <c r="J149" i="19"/>
  <c r="I149" i="19"/>
  <c r="H149" i="19"/>
  <c r="L148" i="19"/>
  <c r="L147" i="19"/>
  <c r="L146" i="19"/>
  <c r="L145" i="19"/>
  <c r="L144" i="19"/>
  <c r="P143" i="19"/>
  <c r="K143" i="19"/>
  <c r="J143" i="19"/>
  <c r="I143" i="19"/>
  <c r="H143" i="19"/>
  <c r="L142" i="19"/>
  <c r="L141" i="19"/>
  <c r="L140" i="19"/>
  <c r="L139" i="19"/>
  <c r="L138" i="19"/>
  <c r="P137" i="19"/>
  <c r="K137" i="19"/>
  <c r="J137" i="19"/>
  <c r="I137" i="19"/>
  <c r="H137" i="19"/>
  <c r="L136" i="19"/>
  <c r="L135" i="19"/>
  <c r="L134" i="19"/>
  <c r="L133" i="19"/>
  <c r="L132" i="19"/>
  <c r="P131" i="19"/>
  <c r="K131" i="19"/>
  <c r="J131" i="19"/>
  <c r="I131" i="19"/>
  <c r="H131" i="19"/>
  <c r="L130" i="19"/>
  <c r="L129" i="19"/>
  <c r="L128" i="19"/>
  <c r="L127" i="19"/>
  <c r="L126" i="19"/>
  <c r="P125" i="19"/>
  <c r="K125" i="19"/>
  <c r="J125" i="19"/>
  <c r="I125" i="19"/>
  <c r="H125" i="19"/>
  <c r="L124" i="19"/>
  <c r="L123" i="19"/>
  <c r="L122" i="19"/>
  <c r="L121" i="19"/>
  <c r="L120" i="19"/>
  <c r="P119" i="19"/>
  <c r="K119" i="19"/>
  <c r="J119" i="19"/>
  <c r="I119" i="19"/>
  <c r="H119" i="19"/>
  <c r="L118" i="19"/>
  <c r="L117" i="19"/>
  <c r="L116" i="19"/>
  <c r="L115" i="19"/>
  <c r="L114" i="19"/>
  <c r="P113" i="19"/>
  <c r="K113" i="19"/>
  <c r="J113" i="19"/>
  <c r="I113" i="19"/>
  <c r="H113" i="19"/>
  <c r="L112" i="19"/>
  <c r="L111" i="19"/>
  <c r="L110" i="19"/>
  <c r="L109" i="19"/>
  <c r="L108" i="19"/>
  <c r="P107" i="19"/>
  <c r="K107" i="19"/>
  <c r="J107" i="19"/>
  <c r="I107" i="19"/>
  <c r="H107" i="19"/>
  <c r="L106" i="19"/>
  <c r="L105" i="19"/>
  <c r="L104" i="19"/>
  <c r="L103" i="19"/>
  <c r="L102" i="19"/>
  <c r="L185" i="19" l="1"/>
  <c r="N185" i="19" s="1"/>
  <c r="P102" i="1"/>
  <c r="L137" i="19"/>
  <c r="N137" i="19" s="1"/>
  <c r="L113" i="19"/>
  <c r="N35" i="1"/>
  <c r="L203" i="19"/>
  <c r="N203" i="19" s="1"/>
  <c r="N71" i="1"/>
  <c r="I522" i="13"/>
  <c r="K522" i="13" s="1"/>
  <c r="I534" i="13"/>
  <c r="K534" i="13" s="1"/>
  <c r="I546" i="13"/>
  <c r="K546" i="13" s="1"/>
  <c r="I564" i="13"/>
  <c r="K564" i="13" s="1"/>
  <c r="I528" i="13"/>
  <c r="K528" i="13" s="1"/>
  <c r="I540" i="13"/>
  <c r="K540" i="13" s="1"/>
  <c r="I558" i="13"/>
  <c r="L119" i="19"/>
  <c r="N119" i="19" s="1"/>
  <c r="L143" i="19"/>
  <c r="N143" i="19" s="1"/>
  <c r="L167" i="19"/>
  <c r="N167" i="19" s="1"/>
  <c r="L191" i="19"/>
  <c r="N191" i="19" s="1"/>
  <c r="L209" i="19"/>
  <c r="N209" i="19" s="1"/>
  <c r="L125" i="19"/>
  <c r="N125" i="19" s="1"/>
  <c r="L149" i="19"/>
  <c r="N149" i="19" s="1"/>
  <c r="L173" i="19"/>
  <c r="N173" i="19" s="1"/>
  <c r="L107" i="19"/>
  <c r="N107" i="19" s="1"/>
  <c r="L131" i="19"/>
  <c r="N131" i="19" s="1"/>
  <c r="L155" i="19"/>
  <c r="N155" i="19" s="1"/>
  <c r="L179" i="19"/>
  <c r="N179" i="19" s="1"/>
  <c r="L197" i="19"/>
  <c r="N197" i="19" s="1"/>
  <c r="N113" i="19" l="1"/>
  <c r="K558" i="13"/>
  <c r="P77" i="20"/>
  <c r="P71" i="20"/>
  <c r="P65" i="20"/>
  <c r="P59" i="20"/>
  <c r="P53" i="20"/>
  <c r="P47" i="20"/>
  <c r="P41" i="20"/>
  <c r="P35" i="20"/>
  <c r="P29" i="20"/>
  <c r="P23" i="20"/>
  <c r="P17" i="20"/>
  <c r="P11" i="20"/>
  <c r="P23" i="17"/>
  <c r="P17" i="17"/>
  <c r="P11" i="17"/>
  <c r="P29" i="3"/>
  <c r="P23" i="3"/>
  <c r="P17" i="3"/>
  <c r="P11" i="3"/>
  <c r="K29" i="10"/>
  <c r="J29" i="10"/>
  <c r="I29" i="10"/>
  <c r="H29" i="10"/>
  <c r="L28" i="10"/>
  <c r="L27" i="10"/>
  <c r="L26" i="10"/>
  <c r="L25" i="10"/>
  <c r="L24" i="10"/>
  <c r="K23" i="10"/>
  <c r="J23" i="10"/>
  <c r="I23" i="10"/>
  <c r="H23" i="10"/>
  <c r="L22" i="10"/>
  <c r="L21" i="10"/>
  <c r="L20" i="10"/>
  <c r="L19" i="10"/>
  <c r="L18" i="10"/>
  <c r="L23" i="10" s="1"/>
  <c r="N23" i="10" s="1"/>
  <c r="K17" i="10"/>
  <c r="J17" i="10"/>
  <c r="I17" i="10"/>
  <c r="H17" i="10"/>
  <c r="L16" i="10"/>
  <c r="L15" i="10"/>
  <c r="L14" i="10"/>
  <c r="L13" i="10"/>
  <c r="L12" i="10"/>
  <c r="K11" i="10"/>
  <c r="J11" i="10"/>
  <c r="I11" i="10"/>
  <c r="H11" i="10"/>
  <c r="L10" i="10"/>
  <c r="L9" i="10"/>
  <c r="L8" i="10"/>
  <c r="L7" i="10"/>
  <c r="L6" i="10"/>
  <c r="K77" i="20"/>
  <c r="J77" i="20"/>
  <c r="I77" i="20"/>
  <c r="H77" i="20"/>
  <c r="L76" i="20"/>
  <c r="L75" i="20"/>
  <c r="L74" i="20"/>
  <c r="L73" i="20"/>
  <c r="L72" i="20"/>
  <c r="K71" i="20"/>
  <c r="J71" i="20"/>
  <c r="I71" i="20"/>
  <c r="I109" i="20" s="1"/>
  <c r="H71" i="20"/>
  <c r="L70" i="20"/>
  <c r="L69" i="20"/>
  <c r="L68" i="20"/>
  <c r="L67" i="20"/>
  <c r="L66" i="20"/>
  <c r="K65" i="20"/>
  <c r="J65" i="20"/>
  <c r="I65" i="20"/>
  <c r="H65" i="20"/>
  <c r="L64" i="20"/>
  <c r="L63" i="20"/>
  <c r="L62" i="20"/>
  <c r="L61" i="20"/>
  <c r="L60" i="20"/>
  <c r="K59" i="20"/>
  <c r="J59" i="20"/>
  <c r="I59" i="20"/>
  <c r="H59" i="20"/>
  <c r="L58" i="20"/>
  <c r="L57" i="20"/>
  <c r="L56" i="20"/>
  <c r="L55" i="20"/>
  <c r="L54" i="20"/>
  <c r="K53" i="20"/>
  <c r="J53" i="20"/>
  <c r="I53" i="20"/>
  <c r="H53" i="20"/>
  <c r="L52" i="20"/>
  <c r="L51" i="20"/>
  <c r="L50" i="20"/>
  <c r="L49" i="20"/>
  <c r="L48" i="20"/>
  <c r="K47" i="20"/>
  <c r="J47" i="20"/>
  <c r="I47" i="20"/>
  <c r="H47" i="20"/>
  <c r="L46" i="20"/>
  <c r="L45" i="20"/>
  <c r="L44" i="20"/>
  <c r="L43" i="20"/>
  <c r="L42" i="20"/>
  <c r="K41" i="20"/>
  <c r="J41" i="20"/>
  <c r="I41" i="20"/>
  <c r="H41" i="20"/>
  <c r="L40" i="20"/>
  <c r="L39" i="20"/>
  <c r="L38" i="20"/>
  <c r="L37" i="20"/>
  <c r="L36" i="20"/>
  <c r="K35" i="20"/>
  <c r="J35" i="20"/>
  <c r="I35" i="20"/>
  <c r="H35" i="20"/>
  <c r="L34" i="20"/>
  <c r="L33" i="20"/>
  <c r="L32" i="20"/>
  <c r="L31" i="20"/>
  <c r="L30" i="20"/>
  <c r="K29" i="20"/>
  <c r="J29" i="20"/>
  <c r="I29" i="20"/>
  <c r="H29" i="20"/>
  <c r="L28" i="20"/>
  <c r="L27" i="20"/>
  <c r="L26" i="20"/>
  <c r="L25" i="20"/>
  <c r="L24" i="20"/>
  <c r="K23" i="20"/>
  <c r="J23" i="20"/>
  <c r="I23" i="20"/>
  <c r="H23" i="20"/>
  <c r="L22" i="20"/>
  <c r="L21" i="20"/>
  <c r="L20" i="20"/>
  <c r="L19" i="20"/>
  <c r="L18" i="20"/>
  <c r="K17" i="20"/>
  <c r="J17" i="20"/>
  <c r="I17" i="20"/>
  <c r="H17" i="20"/>
  <c r="L16" i="20"/>
  <c r="L15" i="20"/>
  <c r="L14" i="20"/>
  <c r="L13" i="20"/>
  <c r="L12" i="20"/>
  <c r="K11" i="20"/>
  <c r="J11" i="20"/>
  <c r="I11" i="20"/>
  <c r="H11" i="20"/>
  <c r="L10" i="20"/>
  <c r="L9" i="20"/>
  <c r="L8" i="20"/>
  <c r="L7" i="20"/>
  <c r="L6" i="20"/>
  <c r="K35" i="9"/>
  <c r="J35" i="9"/>
  <c r="I35" i="9"/>
  <c r="H35" i="9"/>
  <c r="L34" i="9"/>
  <c r="L33" i="9"/>
  <c r="L32" i="9"/>
  <c r="L31" i="9"/>
  <c r="L30" i="9"/>
  <c r="K29" i="9"/>
  <c r="J29" i="9"/>
  <c r="I29" i="9"/>
  <c r="H29" i="9"/>
  <c r="L28" i="9"/>
  <c r="L27" i="9"/>
  <c r="L26" i="9"/>
  <c r="L25" i="9"/>
  <c r="L24" i="9"/>
  <c r="L29" i="9" s="1"/>
  <c r="N29" i="9" s="1"/>
  <c r="K23" i="9"/>
  <c r="J23" i="9"/>
  <c r="I23" i="9"/>
  <c r="H23" i="9"/>
  <c r="L22" i="9"/>
  <c r="L21" i="9"/>
  <c r="L20" i="9"/>
  <c r="L19" i="9"/>
  <c r="L18" i="9"/>
  <c r="K17" i="9"/>
  <c r="J17" i="9"/>
  <c r="I17" i="9"/>
  <c r="H17" i="9"/>
  <c r="L16" i="9"/>
  <c r="L15" i="9"/>
  <c r="L14" i="9"/>
  <c r="L13" i="9"/>
  <c r="L12" i="9"/>
  <c r="K41" i="17"/>
  <c r="J41" i="17"/>
  <c r="I41" i="17"/>
  <c r="H41" i="17"/>
  <c r="L40" i="17"/>
  <c r="L39" i="17"/>
  <c r="L38" i="17"/>
  <c r="L37" i="17"/>
  <c r="L36" i="17"/>
  <c r="K35" i="17"/>
  <c r="J35" i="17"/>
  <c r="I35" i="17"/>
  <c r="H35" i="17"/>
  <c r="L34" i="17"/>
  <c r="L33" i="17"/>
  <c r="L32" i="17"/>
  <c r="L31" i="17"/>
  <c r="L30" i="17"/>
  <c r="K29" i="17"/>
  <c r="J29" i="17"/>
  <c r="I29" i="17"/>
  <c r="H29" i="17"/>
  <c r="L28" i="17"/>
  <c r="L27" i="17"/>
  <c r="L26" i="17"/>
  <c r="L25" i="17"/>
  <c r="L24" i="17"/>
  <c r="K23" i="17"/>
  <c r="J23" i="17"/>
  <c r="I23" i="17"/>
  <c r="H23" i="17"/>
  <c r="L22" i="17"/>
  <c r="L21" i="17"/>
  <c r="L20" i="17"/>
  <c r="L19" i="17"/>
  <c r="L18" i="17"/>
  <c r="K17" i="17"/>
  <c r="J17" i="17"/>
  <c r="I17" i="17"/>
  <c r="H17" i="17"/>
  <c r="L16" i="17"/>
  <c r="L15" i="17"/>
  <c r="L14" i="17"/>
  <c r="L13" i="17"/>
  <c r="L12" i="17"/>
  <c r="K11" i="17"/>
  <c r="J11" i="17"/>
  <c r="I11" i="17"/>
  <c r="H11" i="17"/>
  <c r="K53" i="8"/>
  <c r="J53" i="8"/>
  <c r="I53" i="8"/>
  <c r="H53" i="8"/>
  <c r="L52" i="8"/>
  <c r="L51" i="8"/>
  <c r="L50" i="8"/>
  <c r="L49" i="8"/>
  <c r="L48" i="8"/>
  <c r="K47" i="8"/>
  <c r="J47" i="8"/>
  <c r="I47" i="8"/>
  <c r="H47" i="8"/>
  <c r="L46" i="8"/>
  <c r="L45" i="8"/>
  <c r="L44" i="8"/>
  <c r="L43" i="8"/>
  <c r="L42" i="8"/>
  <c r="K41" i="8"/>
  <c r="J41" i="8"/>
  <c r="I41" i="8"/>
  <c r="H41" i="8"/>
  <c r="L40" i="8"/>
  <c r="L39" i="8"/>
  <c r="L38" i="8"/>
  <c r="L37" i="8"/>
  <c r="L36" i="8"/>
  <c r="K35" i="8"/>
  <c r="J35" i="8"/>
  <c r="I35" i="8"/>
  <c r="H35" i="8"/>
  <c r="L34" i="8"/>
  <c r="L33" i="8"/>
  <c r="L32" i="8"/>
  <c r="L31" i="8"/>
  <c r="L30" i="8"/>
  <c r="K29" i="8"/>
  <c r="J29" i="8"/>
  <c r="I29" i="8"/>
  <c r="H29" i="8"/>
  <c r="L28" i="8"/>
  <c r="L27" i="8"/>
  <c r="L26" i="8"/>
  <c r="L25" i="8"/>
  <c r="L24" i="8"/>
  <c r="K23" i="8"/>
  <c r="J23" i="8"/>
  <c r="I23" i="8"/>
  <c r="H23" i="8"/>
  <c r="L22" i="8"/>
  <c r="L21" i="8"/>
  <c r="L20" i="8"/>
  <c r="L19" i="8"/>
  <c r="L18" i="8"/>
  <c r="K107" i="7"/>
  <c r="J107" i="7"/>
  <c r="I107" i="7"/>
  <c r="H107" i="7"/>
  <c r="L106" i="7"/>
  <c r="L105" i="7"/>
  <c r="L104" i="7"/>
  <c r="L103" i="7"/>
  <c r="L102" i="7"/>
  <c r="K101" i="7"/>
  <c r="J101" i="7"/>
  <c r="I101" i="7"/>
  <c r="H101" i="7"/>
  <c r="L100" i="7"/>
  <c r="L99" i="7"/>
  <c r="L98" i="7"/>
  <c r="L97" i="7"/>
  <c r="L96" i="7"/>
  <c r="K95" i="7"/>
  <c r="J95" i="7"/>
  <c r="I95" i="7"/>
  <c r="H95" i="7"/>
  <c r="L94" i="7"/>
  <c r="L93" i="7"/>
  <c r="L92" i="7"/>
  <c r="L91" i="7"/>
  <c r="L90" i="7"/>
  <c r="K89" i="7"/>
  <c r="J89" i="7"/>
  <c r="I89" i="7"/>
  <c r="H89" i="7"/>
  <c r="L88" i="7"/>
  <c r="L87" i="7"/>
  <c r="L86" i="7"/>
  <c r="L85" i="7"/>
  <c r="L84" i="7"/>
  <c r="K83" i="7"/>
  <c r="J83" i="7"/>
  <c r="I83" i="7"/>
  <c r="H83" i="7"/>
  <c r="L82" i="7"/>
  <c r="L81" i="7"/>
  <c r="L80" i="7"/>
  <c r="L79" i="7"/>
  <c r="L78" i="7"/>
  <c r="K77" i="7"/>
  <c r="J77" i="7"/>
  <c r="I77" i="7"/>
  <c r="H77" i="7"/>
  <c r="L76" i="7"/>
  <c r="L75" i="7"/>
  <c r="L74" i="7"/>
  <c r="L73" i="7"/>
  <c r="L72" i="7"/>
  <c r="K71" i="7"/>
  <c r="J71" i="7"/>
  <c r="I71" i="7"/>
  <c r="H71" i="7"/>
  <c r="L70" i="7"/>
  <c r="L69" i="7"/>
  <c r="L68" i="7"/>
  <c r="L67" i="7"/>
  <c r="L66" i="7"/>
  <c r="K65" i="7"/>
  <c r="J65" i="7"/>
  <c r="I65" i="7"/>
  <c r="H65" i="7"/>
  <c r="L64" i="7"/>
  <c r="L63" i="7"/>
  <c r="L62" i="7"/>
  <c r="L61" i="7"/>
  <c r="L60" i="7"/>
  <c r="K59" i="7"/>
  <c r="J59" i="7"/>
  <c r="I59" i="7"/>
  <c r="H59" i="7"/>
  <c r="L58" i="7"/>
  <c r="L57" i="7"/>
  <c r="L56" i="7"/>
  <c r="L55" i="7"/>
  <c r="L54" i="7"/>
  <c r="K53" i="7"/>
  <c r="J53" i="7"/>
  <c r="I53" i="7"/>
  <c r="H53" i="7"/>
  <c r="L52" i="7"/>
  <c r="L51" i="7"/>
  <c r="L50" i="7"/>
  <c r="L49" i="7"/>
  <c r="L48" i="7"/>
  <c r="K47" i="7"/>
  <c r="J47" i="7"/>
  <c r="I47" i="7"/>
  <c r="H47" i="7"/>
  <c r="L46" i="7"/>
  <c r="L45" i="7"/>
  <c r="L44" i="7"/>
  <c r="L43" i="7"/>
  <c r="L42" i="7"/>
  <c r="K41" i="7"/>
  <c r="J41" i="7"/>
  <c r="I41" i="7"/>
  <c r="H41" i="7"/>
  <c r="L40" i="7"/>
  <c r="L39" i="7"/>
  <c r="L38" i="7"/>
  <c r="L37" i="7"/>
  <c r="L36" i="7"/>
  <c r="K35" i="7"/>
  <c r="J35" i="7"/>
  <c r="I35" i="7"/>
  <c r="H35" i="7"/>
  <c r="L34" i="7"/>
  <c r="L33" i="7"/>
  <c r="L32" i="7"/>
  <c r="L31" i="7"/>
  <c r="L30" i="7"/>
  <c r="K29" i="7"/>
  <c r="J29" i="7"/>
  <c r="I29" i="7"/>
  <c r="H29" i="7"/>
  <c r="L28" i="7"/>
  <c r="L27" i="7"/>
  <c r="L26" i="7"/>
  <c r="L25" i="7"/>
  <c r="L24" i="7"/>
  <c r="K23" i="7"/>
  <c r="J23" i="7"/>
  <c r="I23" i="7"/>
  <c r="H23" i="7"/>
  <c r="L22" i="7"/>
  <c r="L21" i="7"/>
  <c r="L20" i="7"/>
  <c r="L19" i="7"/>
  <c r="L18" i="7"/>
  <c r="K17" i="7"/>
  <c r="J17" i="7"/>
  <c r="I17" i="7"/>
  <c r="H17" i="7"/>
  <c r="L16" i="7"/>
  <c r="L15" i="7"/>
  <c r="L14" i="7"/>
  <c r="L13" i="7"/>
  <c r="L12" i="7"/>
  <c r="K59" i="22"/>
  <c r="J59" i="22"/>
  <c r="I59" i="22"/>
  <c r="H59" i="22"/>
  <c r="L58" i="22"/>
  <c r="L57" i="22"/>
  <c r="L56" i="22"/>
  <c r="L55" i="22"/>
  <c r="L54" i="22"/>
  <c r="K53" i="22"/>
  <c r="J53" i="22"/>
  <c r="I53" i="22"/>
  <c r="H53" i="22"/>
  <c r="L52" i="22"/>
  <c r="L51" i="22"/>
  <c r="L50" i="22"/>
  <c r="L49" i="22"/>
  <c r="L48" i="22"/>
  <c r="K47" i="22"/>
  <c r="J47" i="22"/>
  <c r="I47" i="22"/>
  <c r="H47" i="22"/>
  <c r="L46" i="22"/>
  <c r="L45" i="22"/>
  <c r="L44" i="22"/>
  <c r="L43" i="22"/>
  <c r="L47" i="22" s="1"/>
  <c r="N47" i="22" s="1"/>
  <c r="L42" i="22"/>
  <c r="K41" i="22"/>
  <c r="J41" i="22"/>
  <c r="I41" i="22"/>
  <c r="H41" i="22"/>
  <c r="L40" i="22"/>
  <c r="L39" i="22"/>
  <c r="L38" i="22"/>
  <c r="L37" i="22"/>
  <c r="L36" i="22"/>
  <c r="K35" i="22"/>
  <c r="J35" i="22"/>
  <c r="I35" i="22"/>
  <c r="H35" i="22"/>
  <c r="L34" i="22"/>
  <c r="L33" i="22"/>
  <c r="L32" i="22"/>
  <c r="L31" i="22"/>
  <c r="L30" i="22"/>
  <c r="K29" i="22"/>
  <c r="J29" i="22"/>
  <c r="I29" i="22"/>
  <c r="H29" i="22"/>
  <c r="L28" i="22"/>
  <c r="L27" i="22"/>
  <c r="L26" i="22"/>
  <c r="L25" i="22"/>
  <c r="L24" i="22"/>
  <c r="K23" i="22"/>
  <c r="J23" i="22"/>
  <c r="I23" i="22"/>
  <c r="H23" i="22"/>
  <c r="L22" i="22"/>
  <c r="L21" i="22"/>
  <c r="L20" i="22"/>
  <c r="L19" i="22"/>
  <c r="L18" i="22"/>
  <c r="K17" i="22"/>
  <c r="J17" i="22"/>
  <c r="I17" i="22"/>
  <c r="H17" i="22"/>
  <c r="L16" i="22"/>
  <c r="L15" i="22"/>
  <c r="L14" i="22"/>
  <c r="L13" i="22"/>
  <c r="L12" i="22"/>
  <c r="K11" i="22"/>
  <c r="J11" i="22"/>
  <c r="I11" i="22"/>
  <c r="H11" i="22"/>
  <c r="L10" i="22"/>
  <c r="L9" i="22"/>
  <c r="L8" i="22"/>
  <c r="L7" i="22"/>
  <c r="L6" i="22"/>
  <c r="K107" i="6"/>
  <c r="J107" i="6"/>
  <c r="I107" i="6"/>
  <c r="H107" i="6"/>
  <c r="L106" i="6"/>
  <c r="L105" i="6"/>
  <c r="L104" i="6"/>
  <c r="L103" i="6"/>
  <c r="L102" i="6"/>
  <c r="K101" i="6"/>
  <c r="J101" i="6"/>
  <c r="I101" i="6"/>
  <c r="H101" i="6"/>
  <c r="L100" i="6"/>
  <c r="L99" i="6"/>
  <c r="L98" i="6"/>
  <c r="L97" i="6"/>
  <c r="L101" i="6" s="1"/>
  <c r="N101" i="6" s="1"/>
  <c r="L96" i="6"/>
  <c r="K95" i="6"/>
  <c r="J95" i="6"/>
  <c r="I95" i="6"/>
  <c r="H95" i="6"/>
  <c r="L94" i="6"/>
  <c r="L93" i="6"/>
  <c r="L92" i="6"/>
  <c r="L91" i="6"/>
  <c r="L90" i="6"/>
  <c r="K89" i="6"/>
  <c r="J89" i="6"/>
  <c r="I89" i="6"/>
  <c r="H89" i="6"/>
  <c r="L88" i="6"/>
  <c r="L87" i="6"/>
  <c r="L86" i="6"/>
  <c r="L85" i="6"/>
  <c r="L84" i="6"/>
  <c r="K83" i="6"/>
  <c r="J83" i="6"/>
  <c r="I83" i="6"/>
  <c r="H83" i="6"/>
  <c r="L82" i="6"/>
  <c r="L81" i="6"/>
  <c r="L80" i="6"/>
  <c r="L79" i="6"/>
  <c r="L83" i="6" s="1"/>
  <c r="N83" i="6" s="1"/>
  <c r="L78" i="6"/>
  <c r="K77" i="6"/>
  <c r="J77" i="6"/>
  <c r="I77" i="6"/>
  <c r="H77" i="6"/>
  <c r="L76" i="6"/>
  <c r="L75" i="6"/>
  <c r="L74" i="6"/>
  <c r="L73" i="6"/>
  <c r="L77" i="6" s="1"/>
  <c r="N77" i="6" s="1"/>
  <c r="L72" i="6"/>
  <c r="K71" i="6"/>
  <c r="J71" i="6"/>
  <c r="I71" i="6"/>
  <c r="H71" i="6"/>
  <c r="L70" i="6"/>
  <c r="L69" i="6"/>
  <c r="L68" i="6"/>
  <c r="L67" i="6"/>
  <c r="L66" i="6"/>
  <c r="K65" i="6"/>
  <c r="J65" i="6"/>
  <c r="I65" i="6"/>
  <c r="H65" i="6"/>
  <c r="L64" i="6"/>
  <c r="L63" i="6"/>
  <c r="L62" i="6"/>
  <c r="L61" i="6"/>
  <c r="L60" i="6"/>
  <c r="K59" i="6"/>
  <c r="J59" i="6"/>
  <c r="I59" i="6"/>
  <c r="H59" i="6"/>
  <c r="L58" i="6"/>
  <c r="L57" i="6"/>
  <c r="L56" i="6"/>
  <c r="L55" i="6"/>
  <c r="L54" i="6"/>
  <c r="K53" i="6"/>
  <c r="J53" i="6"/>
  <c r="I53" i="6"/>
  <c r="H53" i="6"/>
  <c r="L52" i="6"/>
  <c r="L51" i="6"/>
  <c r="L50" i="6"/>
  <c r="L49" i="6"/>
  <c r="L48" i="6"/>
  <c r="K47" i="6"/>
  <c r="J47" i="6"/>
  <c r="I47" i="6"/>
  <c r="H47" i="6"/>
  <c r="L46" i="6"/>
  <c r="L45" i="6"/>
  <c r="L44" i="6"/>
  <c r="L43" i="6"/>
  <c r="L42" i="6"/>
  <c r="K41" i="6"/>
  <c r="J41" i="6"/>
  <c r="I41" i="6"/>
  <c r="H41" i="6"/>
  <c r="L40" i="6"/>
  <c r="L39" i="6"/>
  <c r="L38" i="6"/>
  <c r="L37" i="6"/>
  <c r="L36" i="6"/>
  <c r="K35" i="6"/>
  <c r="J35" i="6"/>
  <c r="I35" i="6"/>
  <c r="H35" i="6"/>
  <c r="L34" i="6"/>
  <c r="L33" i="6"/>
  <c r="L32" i="6"/>
  <c r="L31" i="6"/>
  <c r="L30" i="6"/>
  <c r="K29" i="6"/>
  <c r="J29" i="6"/>
  <c r="I29" i="6"/>
  <c r="H29" i="6"/>
  <c r="L28" i="6"/>
  <c r="L27" i="6"/>
  <c r="L26" i="6"/>
  <c r="L25" i="6"/>
  <c r="L24" i="6"/>
  <c r="L29" i="6" s="1"/>
  <c r="N29" i="6" s="1"/>
  <c r="K23" i="6"/>
  <c r="J23" i="6"/>
  <c r="I23" i="6"/>
  <c r="H23" i="6"/>
  <c r="L22" i="6"/>
  <c r="L21" i="6"/>
  <c r="L20" i="6"/>
  <c r="L19" i="6"/>
  <c r="L18" i="6"/>
  <c r="K17" i="6"/>
  <c r="J17" i="6"/>
  <c r="I17" i="6"/>
  <c r="H17" i="6"/>
  <c r="L16" i="6"/>
  <c r="L15" i="6"/>
  <c r="L14" i="6"/>
  <c r="L13" i="6"/>
  <c r="L12" i="6"/>
  <c r="K11" i="6"/>
  <c r="J11" i="6"/>
  <c r="I11" i="6"/>
  <c r="H11" i="6"/>
  <c r="L10" i="6"/>
  <c r="L9" i="6"/>
  <c r="L8" i="6"/>
  <c r="L7" i="6"/>
  <c r="L6" i="6"/>
  <c r="K47" i="15"/>
  <c r="J47" i="15"/>
  <c r="I47" i="15"/>
  <c r="H47" i="15"/>
  <c r="L46" i="15"/>
  <c r="L45" i="15"/>
  <c r="L44" i="15"/>
  <c r="L43" i="15"/>
  <c r="L47" i="15" s="1"/>
  <c r="N47" i="15" s="1"/>
  <c r="L42" i="15"/>
  <c r="K41" i="15"/>
  <c r="J41" i="15"/>
  <c r="I41" i="15"/>
  <c r="H41" i="15"/>
  <c r="L40" i="15"/>
  <c r="L39" i="15"/>
  <c r="L38" i="15"/>
  <c r="L37" i="15"/>
  <c r="L36" i="15"/>
  <c r="K35" i="15"/>
  <c r="J35" i="15"/>
  <c r="I35" i="15"/>
  <c r="H35" i="15"/>
  <c r="L34" i="15"/>
  <c r="L33" i="15"/>
  <c r="L32" i="15"/>
  <c r="L31" i="15"/>
  <c r="L30" i="15"/>
  <c r="K29" i="15"/>
  <c r="J29" i="15"/>
  <c r="I29" i="15"/>
  <c r="H29" i="15"/>
  <c r="L28" i="15"/>
  <c r="L27" i="15"/>
  <c r="L26" i="15"/>
  <c r="L25" i="15"/>
  <c r="L24" i="15"/>
  <c r="K23" i="15"/>
  <c r="J23" i="15"/>
  <c r="I23" i="15"/>
  <c r="H23" i="15"/>
  <c r="L22" i="15"/>
  <c r="L21" i="15"/>
  <c r="L20" i="15"/>
  <c r="L19" i="15"/>
  <c r="L18" i="15"/>
  <c r="K17" i="15"/>
  <c r="J17" i="15"/>
  <c r="I17" i="15"/>
  <c r="H17" i="15"/>
  <c r="L16" i="15"/>
  <c r="L15" i="15"/>
  <c r="L14" i="15"/>
  <c r="L13" i="15"/>
  <c r="L12" i="15"/>
  <c r="K11" i="15"/>
  <c r="J11" i="15"/>
  <c r="I11" i="15"/>
  <c r="H11" i="15"/>
  <c r="L10" i="15"/>
  <c r="L9" i="15"/>
  <c r="L8" i="15"/>
  <c r="L7" i="15"/>
  <c r="L6" i="15"/>
  <c r="K29" i="5"/>
  <c r="J29" i="5"/>
  <c r="I29" i="5"/>
  <c r="H29" i="5"/>
  <c r="L28" i="5"/>
  <c r="L27" i="5"/>
  <c r="L26" i="5"/>
  <c r="L25" i="5"/>
  <c r="L24" i="5"/>
  <c r="K23" i="5"/>
  <c r="J23" i="5"/>
  <c r="I23" i="5"/>
  <c r="H23" i="5"/>
  <c r="L22" i="5"/>
  <c r="L21" i="5"/>
  <c r="L20" i="5"/>
  <c r="L19" i="5"/>
  <c r="L18" i="5"/>
  <c r="K17" i="5"/>
  <c r="J17" i="5"/>
  <c r="I17" i="5"/>
  <c r="H17" i="5"/>
  <c r="L16" i="5"/>
  <c r="L15" i="5"/>
  <c r="L14" i="5"/>
  <c r="L13" i="5"/>
  <c r="L12" i="5"/>
  <c r="K11" i="5"/>
  <c r="J11" i="5"/>
  <c r="I11" i="5"/>
  <c r="H11" i="5"/>
  <c r="L10" i="5"/>
  <c r="L9" i="5"/>
  <c r="L8" i="5"/>
  <c r="L7" i="5"/>
  <c r="L6" i="5"/>
  <c r="K17" i="14"/>
  <c r="J17" i="14"/>
  <c r="I17" i="14"/>
  <c r="H17" i="14"/>
  <c r="L16" i="14"/>
  <c r="L15" i="14"/>
  <c r="L14" i="14"/>
  <c r="L13" i="14"/>
  <c r="L12" i="14"/>
  <c r="K11" i="14"/>
  <c r="J11" i="14"/>
  <c r="I11" i="14"/>
  <c r="H11" i="14"/>
  <c r="L10" i="14"/>
  <c r="L9" i="14"/>
  <c r="L8" i="14"/>
  <c r="L7" i="14"/>
  <c r="L6" i="14"/>
  <c r="L11" i="14" s="1"/>
  <c r="N11" i="14" s="1"/>
  <c r="K59" i="4"/>
  <c r="J59" i="4"/>
  <c r="I59" i="4"/>
  <c r="H59" i="4"/>
  <c r="L58" i="4"/>
  <c r="L57" i="4"/>
  <c r="L56" i="4"/>
  <c r="L55" i="4"/>
  <c r="L54" i="4"/>
  <c r="K53" i="4"/>
  <c r="J53" i="4"/>
  <c r="I53" i="4"/>
  <c r="H53" i="4"/>
  <c r="L52" i="4"/>
  <c r="L51" i="4"/>
  <c r="L50" i="4"/>
  <c r="L49" i="4"/>
  <c r="L48" i="4"/>
  <c r="K47" i="4"/>
  <c r="J47" i="4"/>
  <c r="I47" i="4"/>
  <c r="H47" i="4"/>
  <c r="L46" i="4"/>
  <c r="L45" i="4"/>
  <c r="L44" i="4"/>
  <c r="L43" i="4"/>
  <c r="L42" i="4"/>
  <c r="K41" i="4"/>
  <c r="J41" i="4"/>
  <c r="I41" i="4"/>
  <c r="H41" i="4"/>
  <c r="L40" i="4"/>
  <c r="L39" i="4"/>
  <c r="L38" i="4"/>
  <c r="L37" i="4"/>
  <c r="L36" i="4"/>
  <c r="K35" i="4"/>
  <c r="J35" i="4"/>
  <c r="I35" i="4"/>
  <c r="H35" i="4"/>
  <c r="L34" i="4"/>
  <c r="L33" i="4"/>
  <c r="L32" i="4"/>
  <c r="L31" i="4"/>
  <c r="L30" i="4"/>
  <c r="K29" i="4"/>
  <c r="J29" i="4"/>
  <c r="I29" i="4"/>
  <c r="H29" i="4"/>
  <c r="L28" i="4"/>
  <c r="L27" i="4"/>
  <c r="L26" i="4"/>
  <c r="L25" i="4"/>
  <c r="L24" i="4"/>
  <c r="K23" i="4"/>
  <c r="J23" i="4"/>
  <c r="I23" i="4"/>
  <c r="H23" i="4"/>
  <c r="L22" i="4"/>
  <c r="L21" i="4"/>
  <c r="L20" i="4"/>
  <c r="L19" i="4"/>
  <c r="L18" i="4"/>
  <c r="K17" i="4"/>
  <c r="J17" i="4"/>
  <c r="I17" i="4"/>
  <c r="H17" i="4"/>
  <c r="L16" i="4"/>
  <c r="L15" i="4"/>
  <c r="L14" i="4"/>
  <c r="L13" i="4"/>
  <c r="L12" i="4"/>
  <c r="L17" i="4" s="1"/>
  <c r="N17" i="4" s="1"/>
  <c r="K11" i="4"/>
  <c r="J11" i="4"/>
  <c r="I11" i="4"/>
  <c r="H11" i="4"/>
  <c r="L10" i="4"/>
  <c r="L9" i="4"/>
  <c r="L8" i="4"/>
  <c r="L7" i="4"/>
  <c r="L6" i="4"/>
  <c r="K53" i="3"/>
  <c r="J53" i="3"/>
  <c r="I53" i="3"/>
  <c r="H53" i="3"/>
  <c r="L52" i="3"/>
  <c r="L51" i="3"/>
  <c r="L50" i="3"/>
  <c r="L49" i="3"/>
  <c r="L48" i="3"/>
  <c r="K47" i="3"/>
  <c r="J47" i="3"/>
  <c r="I47" i="3"/>
  <c r="H47" i="3"/>
  <c r="L46" i="3"/>
  <c r="L45" i="3"/>
  <c r="L44" i="3"/>
  <c r="L43" i="3"/>
  <c r="L42" i="3"/>
  <c r="K41" i="3"/>
  <c r="J41" i="3"/>
  <c r="I41" i="3"/>
  <c r="H41" i="3"/>
  <c r="L40" i="3"/>
  <c r="L39" i="3"/>
  <c r="L38" i="3"/>
  <c r="L37" i="3"/>
  <c r="L36" i="3"/>
  <c r="L41" i="3" s="1"/>
  <c r="N41" i="3" s="1"/>
  <c r="K29" i="3"/>
  <c r="K54" i="3" s="1"/>
  <c r="J29" i="3"/>
  <c r="J54" i="3" s="1"/>
  <c r="I29" i="3"/>
  <c r="H29" i="3"/>
  <c r="L28" i="3"/>
  <c r="L27" i="3"/>
  <c r="L26" i="3"/>
  <c r="L25" i="3"/>
  <c r="L24" i="3"/>
  <c r="K23" i="3"/>
  <c r="J23" i="3"/>
  <c r="I23" i="3"/>
  <c r="H23" i="3"/>
  <c r="L22" i="3"/>
  <c r="L21" i="3"/>
  <c r="L20" i="3"/>
  <c r="L19" i="3"/>
  <c r="L18" i="3"/>
  <c r="K17" i="3"/>
  <c r="J17" i="3"/>
  <c r="I17" i="3"/>
  <c r="H17" i="3"/>
  <c r="L16" i="3"/>
  <c r="L15" i="3"/>
  <c r="L14" i="3"/>
  <c r="L13" i="3"/>
  <c r="L12" i="3"/>
  <c r="K11" i="3"/>
  <c r="J11" i="3"/>
  <c r="I11" i="3"/>
  <c r="H11" i="3"/>
  <c r="L10" i="3"/>
  <c r="L9" i="3"/>
  <c r="L8" i="3"/>
  <c r="L7" i="3"/>
  <c r="L6" i="3"/>
  <c r="L11" i="3" s="1"/>
  <c r="N11" i="3" s="1"/>
  <c r="K11" i="18"/>
  <c r="J11" i="18"/>
  <c r="I11" i="18"/>
  <c r="H11" i="18"/>
  <c r="L10" i="18"/>
  <c r="L9" i="18"/>
  <c r="L8" i="18"/>
  <c r="L7" i="18"/>
  <c r="L6" i="18"/>
  <c r="K17" i="1"/>
  <c r="K102" i="1" s="1"/>
  <c r="J17" i="1"/>
  <c r="J102" i="1" s="1"/>
  <c r="I17" i="1"/>
  <c r="I102" i="1" s="1"/>
  <c r="H17" i="1"/>
  <c r="H102" i="1" s="1"/>
  <c r="L16" i="1"/>
  <c r="L15" i="1"/>
  <c r="L14" i="1"/>
  <c r="L13" i="1"/>
  <c r="L12" i="1"/>
  <c r="K29" i="21"/>
  <c r="J29" i="21"/>
  <c r="I29" i="21"/>
  <c r="H29" i="21"/>
  <c r="L28" i="21"/>
  <c r="L27" i="21"/>
  <c r="L26" i="21"/>
  <c r="L25" i="21"/>
  <c r="L24" i="21"/>
  <c r="K23" i="21"/>
  <c r="J23" i="21"/>
  <c r="I23" i="21"/>
  <c r="H23" i="21"/>
  <c r="L22" i="21"/>
  <c r="L21" i="21"/>
  <c r="L20" i="21"/>
  <c r="L19" i="21"/>
  <c r="L18" i="21"/>
  <c r="L23" i="21" s="1"/>
  <c r="N23" i="21" s="1"/>
  <c r="K17" i="21"/>
  <c r="J17" i="21"/>
  <c r="I17" i="21"/>
  <c r="H17" i="21"/>
  <c r="K11" i="21"/>
  <c r="J11" i="21"/>
  <c r="I11" i="21"/>
  <c r="H11" i="21"/>
  <c r="L16" i="21"/>
  <c r="L15" i="21"/>
  <c r="L14" i="21"/>
  <c r="L13" i="21"/>
  <c r="L12" i="21"/>
  <c r="L10" i="21"/>
  <c r="L9" i="21"/>
  <c r="L8" i="21"/>
  <c r="L7" i="21"/>
  <c r="L6" i="21"/>
  <c r="P101" i="19"/>
  <c r="P95" i="19"/>
  <c r="P89" i="19"/>
  <c r="P83" i="19"/>
  <c r="P77" i="19"/>
  <c r="P71" i="19"/>
  <c r="P65" i="19"/>
  <c r="P59" i="19"/>
  <c r="P53" i="19"/>
  <c r="P47" i="19"/>
  <c r="P41" i="19"/>
  <c r="P35" i="19"/>
  <c r="P29" i="19"/>
  <c r="P23" i="19"/>
  <c r="P17" i="19"/>
  <c r="P11" i="19"/>
  <c r="L10" i="7"/>
  <c r="L9" i="7"/>
  <c r="L8" i="7"/>
  <c r="L7" i="7"/>
  <c r="L6" i="7"/>
  <c r="H516" i="13"/>
  <c r="I515" i="13"/>
  <c r="I514" i="13"/>
  <c r="I513" i="13"/>
  <c r="I512" i="13"/>
  <c r="I511" i="13"/>
  <c r="H510" i="13"/>
  <c r="I509" i="13"/>
  <c r="I508" i="13"/>
  <c r="I507" i="13"/>
  <c r="I506" i="13"/>
  <c r="I505" i="13"/>
  <c r="H504" i="13"/>
  <c r="I503" i="13"/>
  <c r="I502" i="13"/>
  <c r="I501" i="13"/>
  <c r="I500" i="13"/>
  <c r="I499" i="13"/>
  <c r="H498" i="13"/>
  <c r="I497" i="13"/>
  <c r="I496" i="13"/>
  <c r="I495" i="13"/>
  <c r="I494" i="13"/>
  <c r="I493" i="13"/>
  <c r="H492" i="13"/>
  <c r="I491" i="13"/>
  <c r="I490" i="13"/>
  <c r="I489" i="13"/>
  <c r="I488" i="13"/>
  <c r="I487" i="13"/>
  <c r="H486" i="13"/>
  <c r="I485" i="13"/>
  <c r="I484" i="13"/>
  <c r="I483" i="13"/>
  <c r="I482" i="13"/>
  <c r="I481" i="13"/>
  <c r="H480" i="13"/>
  <c r="I479" i="13"/>
  <c r="I478" i="13"/>
  <c r="I477" i="13"/>
  <c r="I476" i="13"/>
  <c r="I475" i="13"/>
  <c r="H474" i="13"/>
  <c r="I473" i="13"/>
  <c r="I472" i="13"/>
  <c r="I471" i="13"/>
  <c r="I470" i="13"/>
  <c r="I469" i="13"/>
  <c r="H468" i="13"/>
  <c r="I467" i="13"/>
  <c r="I466" i="13"/>
  <c r="I465" i="13"/>
  <c r="I464" i="13"/>
  <c r="I463" i="13"/>
  <c r="H462" i="13"/>
  <c r="I461" i="13"/>
  <c r="I460" i="13"/>
  <c r="I459" i="13"/>
  <c r="I458" i="13"/>
  <c r="I457" i="13"/>
  <c r="H456" i="13"/>
  <c r="I455" i="13"/>
  <c r="I454" i="13"/>
  <c r="I453" i="13"/>
  <c r="I452" i="13"/>
  <c r="I451" i="13"/>
  <c r="H450" i="13"/>
  <c r="I449" i="13"/>
  <c r="I448" i="13"/>
  <c r="I447" i="13"/>
  <c r="I446" i="13"/>
  <c r="I445" i="13"/>
  <c r="H444" i="13"/>
  <c r="I443" i="13"/>
  <c r="I442" i="13"/>
  <c r="I441" i="13"/>
  <c r="I440" i="13"/>
  <c r="I439" i="13"/>
  <c r="H438" i="13"/>
  <c r="I437" i="13"/>
  <c r="I436" i="13"/>
  <c r="I435" i="13"/>
  <c r="I434" i="13"/>
  <c r="I433" i="13"/>
  <c r="H432" i="13"/>
  <c r="I431" i="13"/>
  <c r="I430" i="13"/>
  <c r="I429" i="13"/>
  <c r="I428" i="13"/>
  <c r="I427" i="13"/>
  <c r="H426" i="13"/>
  <c r="I425" i="13"/>
  <c r="I424" i="13"/>
  <c r="I423" i="13"/>
  <c r="I422" i="13"/>
  <c r="I421" i="13"/>
  <c r="H420" i="13"/>
  <c r="I419" i="13"/>
  <c r="I418" i="13"/>
  <c r="I417" i="13"/>
  <c r="I416" i="13"/>
  <c r="I415" i="13"/>
  <c r="H414" i="13"/>
  <c r="I413" i="13"/>
  <c r="I412" i="13"/>
  <c r="I411" i="13"/>
  <c r="I410" i="13"/>
  <c r="I409" i="13"/>
  <c r="H408" i="13"/>
  <c r="I407" i="13"/>
  <c r="I406" i="13"/>
  <c r="I405" i="13"/>
  <c r="I404" i="13"/>
  <c r="I403" i="13"/>
  <c r="H402" i="13"/>
  <c r="I401" i="13"/>
  <c r="I400" i="13"/>
  <c r="I399" i="13"/>
  <c r="I398" i="13"/>
  <c r="I397" i="13"/>
  <c r="L11" i="17"/>
  <c r="L6" i="17"/>
  <c r="H396" i="13"/>
  <c r="I395" i="13"/>
  <c r="I394" i="13"/>
  <c r="I393" i="13"/>
  <c r="I392" i="13"/>
  <c r="I391" i="13"/>
  <c r="H366" i="13"/>
  <c r="I365" i="13"/>
  <c r="I364" i="13"/>
  <c r="I363" i="13"/>
  <c r="I362" i="13"/>
  <c r="I361" i="13"/>
  <c r="L29" i="21" l="1"/>
  <c r="N29" i="21" s="1"/>
  <c r="I54" i="3"/>
  <c r="L17" i="14"/>
  <c r="N17" i="14" s="1"/>
  <c r="L29" i="15"/>
  <c r="L11" i="6"/>
  <c r="N11" i="6" s="1"/>
  <c r="L35" i="6"/>
  <c r="N35" i="6" s="1"/>
  <c r="L59" i="6"/>
  <c r="N59" i="6" s="1"/>
  <c r="L107" i="6"/>
  <c r="N107" i="6" s="1"/>
  <c r="L29" i="22"/>
  <c r="N29" i="22" s="1"/>
  <c r="L53" i="22"/>
  <c r="N53" i="22" s="1"/>
  <c r="L77" i="7"/>
  <c r="N77" i="7" s="1"/>
  <c r="L101" i="7"/>
  <c r="N101" i="7" s="1"/>
  <c r="H109" i="20"/>
  <c r="L17" i="9"/>
  <c r="N17" i="9" s="1"/>
  <c r="L23" i="15"/>
  <c r="N23" i="15" s="1"/>
  <c r="L53" i="6"/>
  <c r="N53" i="6" s="1"/>
  <c r="K109" i="20"/>
  <c r="L71" i="7"/>
  <c r="L17" i="17"/>
  <c r="N17" i="17" s="1"/>
  <c r="L41" i="17"/>
  <c r="N41" i="17" s="1"/>
  <c r="P54" i="3"/>
  <c r="J109" i="20"/>
  <c r="H60" i="4"/>
  <c r="H127" i="7"/>
  <c r="L35" i="9"/>
  <c r="N35" i="9" s="1"/>
  <c r="L29" i="10"/>
  <c r="N29" i="10" s="1"/>
  <c r="L11" i="18"/>
  <c r="N11" i="18" s="1"/>
  <c r="I60" i="4"/>
  <c r="L59" i="4"/>
  <c r="N59" i="4" s="1"/>
  <c r="L17" i="15"/>
  <c r="N17" i="15" s="1"/>
  <c r="L47" i="6"/>
  <c r="N47" i="6" s="1"/>
  <c r="L71" i="6"/>
  <c r="N71" i="6" s="1"/>
  <c r="L95" i="6"/>
  <c r="N95" i="6" s="1"/>
  <c r="L41" i="22"/>
  <c r="N41" i="22" s="1"/>
  <c r="P109" i="20"/>
  <c r="P498" i="19"/>
  <c r="J60" i="4"/>
  <c r="L41" i="15"/>
  <c r="N41" i="15" s="1"/>
  <c r="J127" i="7"/>
  <c r="K60" i="4"/>
  <c r="K127" i="7"/>
  <c r="H79" i="8"/>
  <c r="L35" i="17"/>
  <c r="N35" i="17" s="1"/>
  <c r="L53" i="3"/>
  <c r="N53" i="3" s="1"/>
  <c r="L11" i="15"/>
  <c r="N11" i="15" s="1"/>
  <c r="L35" i="15"/>
  <c r="N35" i="15" s="1"/>
  <c r="L17" i="6"/>
  <c r="N17" i="6" s="1"/>
  <c r="L41" i="6"/>
  <c r="N41" i="6" s="1"/>
  <c r="L65" i="6"/>
  <c r="N65" i="6" s="1"/>
  <c r="L89" i="6"/>
  <c r="N89" i="6" s="1"/>
  <c r="L11" i="22"/>
  <c r="N11" i="22" s="1"/>
  <c r="L35" i="22"/>
  <c r="N35" i="22" s="1"/>
  <c r="I127" i="7"/>
  <c r="I79" i="8"/>
  <c r="L59" i="22"/>
  <c r="N59" i="22" s="1"/>
  <c r="J79" i="8"/>
  <c r="L23" i="9"/>
  <c r="N23" i="9" s="1"/>
  <c r="L17" i="10"/>
  <c r="N17" i="10" s="1"/>
  <c r="H54" i="3"/>
  <c r="K79" i="8"/>
  <c r="L29" i="17"/>
  <c r="N29" i="17" s="1"/>
  <c r="L47" i="4"/>
  <c r="N71" i="7"/>
  <c r="L47" i="3"/>
  <c r="N47" i="3" s="1"/>
  <c r="L29" i="3"/>
  <c r="L17" i="1"/>
  <c r="L102" i="1" s="1"/>
  <c r="L11" i="4"/>
  <c r="N11" i="4" s="1"/>
  <c r="L35" i="4"/>
  <c r="N35" i="4" s="1"/>
  <c r="L53" i="4"/>
  <c r="N53" i="4" s="1"/>
  <c r="L23" i="4"/>
  <c r="N23" i="4" s="1"/>
  <c r="L41" i="4"/>
  <c r="N41" i="4" s="1"/>
  <c r="L29" i="4"/>
  <c r="N29" i="4" s="1"/>
  <c r="L35" i="20"/>
  <c r="N35" i="20" s="1"/>
  <c r="L65" i="20"/>
  <c r="N65" i="20" s="1"/>
  <c r="L59" i="20"/>
  <c r="N59" i="20" s="1"/>
  <c r="L77" i="20"/>
  <c r="N77" i="20" s="1"/>
  <c r="L47" i="20"/>
  <c r="N47" i="20" s="1"/>
  <c r="L71" i="20"/>
  <c r="L23" i="7"/>
  <c r="N23" i="7" s="1"/>
  <c r="L65" i="7"/>
  <c r="N65" i="7" s="1"/>
  <c r="L89" i="7"/>
  <c r="N89" i="7" s="1"/>
  <c r="L17" i="7"/>
  <c r="N17" i="7" s="1"/>
  <c r="L11" i="7"/>
  <c r="N11" i="7" s="1"/>
  <c r="L59" i="7"/>
  <c r="N59" i="7" s="1"/>
  <c r="L83" i="7"/>
  <c r="N83" i="7" s="1"/>
  <c r="L107" i="7"/>
  <c r="N107" i="7" s="1"/>
  <c r="L17" i="21"/>
  <c r="N17" i="21" s="1"/>
  <c r="L23" i="5"/>
  <c r="N23" i="5" s="1"/>
  <c r="L17" i="5"/>
  <c r="N17" i="5" s="1"/>
  <c r="L11" i="5"/>
  <c r="N11" i="5" s="1"/>
  <c r="L29" i="5"/>
  <c r="N29" i="5" s="1"/>
  <c r="L41" i="7"/>
  <c r="N41" i="7" s="1"/>
  <c r="L35" i="7"/>
  <c r="L35" i="8"/>
  <c r="N35" i="8" s="1"/>
  <c r="N11" i="17"/>
  <c r="L23" i="8"/>
  <c r="N23" i="8" s="1"/>
  <c r="L41" i="8"/>
  <c r="N41" i="8" s="1"/>
  <c r="L53" i="8"/>
  <c r="L29" i="8"/>
  <c r="N29" i="8" s="1"/>
  <c r="L47" i="8"/>
  <c r="N47" i="8" s="1"/>
  <c r="L23" i="20"/>
  <c r="L29" i="20"/>
  <c r="N29" i="20" s="1"/>
  <c r="L95" i="7"/>
  <c r="N95" i="7" s="1"/>
  <c r="L23" i="22"/>
  <c r="N23" i="22" s="1"/>
  <c r="N60" i="22" s="1"/>
  <c r="L17" i="22"/>
  <c r="N17" i="22" s="1"/>
  <c r="L23" i="6"/>
  <c r="N23" i="6" s="1"/>
  <c r="L53" i="20"/>
  <c r="N53" i="20" s="1"/>
  <c r="L41" i="20"/>
  <c r="N41" i="20" s="1"/>
  <c r="L17" i="20"/>
  <c r="N17" i="20" s="1"/>
  <c r="L11" i="20"/>
  <c r="N11" i="20" s="1"/>
  <c r="L11" i="10"/>
  <c r="N11" i="10" s="1"/>
  <c r="L23" i="3"/>
  <c r="N23" i="3" s="1"/>
  <c r="L53" i="7"/>
  <c r="L47" i="7"/>
  <c r="N47" i="7" s="1"/>
  <c r="L29" i="7"/>
  <c r="N29" i="7" s="1"/>
  <c r="I402" i="13"/>
  <c r="K402" i="13" s="1"/>
  <c r="I414" i="13"/>
  <c r="K414" i="13" s="1"/>
  <c r="I426" i="13"/>
  <c r="K426" i="13" s="1"/>
  <c r="I438" i="13"/>
  <c r="K438" i="13" s="1"/>
  <c r="I450" i="13"/>
  <c r="K450" i="13" s="1"/>
  <c r="I462" i="13"/>
  <c r="K462" i="13" s="1"/>
  <c r="I486" i="13"/>
  <c r="K486" i="13" s="1"/>
  <c r="I498" i="13"/>
  <c r="K498" i="13" s="1"/>
  <c r="I510" i="13"/>
  <c r="K510" i="13" s="1"/>
  <c r="I444" i="13"/>
  <c r="K444" i="13" s="1"/>
  <c r="I456" i="13"/>
  <c r="K456" i="13" s="1"/>
  <c r="I468" i="13"/>
  <c r="K468" i="13" s="1"/>
  <c r="I480" i="13"/>
  <c r="K480" i="13" s="1"/>
  <c r="I492" i="13"/>
  <c r="K492" i="13" s="1"/>
  <c r="I504" i="13"/>
  <c r="K504" i="13" s="1"/>
  <c r="I516" i="13"/>
  <c r="K516" i="13" s="1"/>
  <c r="L23" i="17"/>
  <c r="N23" i="17" s="1"/>
  <c r="L17" i="3"/>
  <c r="N17" i="3" s="1"/>
  <c r="L11" i="21"/>
  <c r="N11" i="21" s="1"/>
  <c r="I474" i="13"/>
  <c r="K474" i="13" s="1"/>
  <c r="I396" i="13"/>
  <c r="K396" i="13" s="1"/>
  <c r="I408" i="13"/>
  <c r="K408" i="13" s="1"/>
  <c r="I420" i="13"/>
  <c r="K420" i="13" s="1"/>
  <c r="I432" i="13"/>
  <c r="K432" i="13" s="1"/>
  <c r="I366" i="13"/>
  <c r="K366" i="13" s="1"/>
  <c r="L109" i="20" l="1"/>
  <c r="N29" i="3"/>
  <c r="N54" i="3" s="1"/>
  <c r="L54" i="3"/>
  <c r="L42" i="17"/>
  <c r="N53" i="8"/>
  <c r="N79" i="8" s="1"/>
  <c r="L79" i="8"/>
  <c r="L127" i="7"/>
  <c r="N60" i="4"/>
  <c r="N29" i="15"/>
  <c r="N49" i="15" s="1"/>
  <c r="L49" i="15"/>
  <c r="N42" i="17"/>
  <c r="N109" i="6"/>
  <c r="N47" i="4"/>
  <c r="L60" i="4"/>
  <c r="N17" i="1"/>
  <c r="N102" i="1" s="1"/>
  <c r="N71" i="20"/>
  <c r="N53" i="7"/>
  <c r="N23" i="20"/>
  <c r="N35" i="7"/>
  <c r="N127" i="7" s="1"/>
  <c r="H36" i="13"/>
  <c r="I35" i="13"/>
  <c r="I34" i="13"/>
  <c r="I33" i="13"/>
  <c r="I32" i="13"/>
  <c r="I31" i="13"/>
  <c r="H30" i="13"/>
  <c r="I29" i="13"/>
  <c r="I28" i="13"/>
  <c r="I27" i="13"/>
  <c r="I26" i="13"/>
  <c r="I25" i="13"/>
  <c r="H24" i="13"/>
  <c r="I23" i="13"/>
  <c r="I22" i="13"/>
  <c r="I21" i="13"/>
  <c r="I20" i="13"/>
  <c r="I19" i="13"/>
  <c r="H18" i="13"/>
  <c r="I17" i="13"/>
  <c r="I16" i="13"/>
  <c r="I15" i="13"/>
  <c r="I14" i="13"/>
  <c r="I13" i="13"/>
  <c r="H12" i="13"/>
  <c r="I11" i="13"/>
  <c r="I10" i="13"/>
  <c r="I9" i="13"/>
  <c r="I8" i="13"/>
  <c r="I7" i="13"/>
  <c r="A25" i="13"/>
  <c r="A31" i="13" s="1"/>
  <c r="H390" i="13"/>
  <c r="I389" i="13"/>
  <c r="I388" i="13"/>
  <c r="I387" i="13"/>
  <c r="I386" i="13"/>
  <c r="I385" i="13"/>
  <c r="H384" i="13"/>
  <c r="I383" i="13"/>
  <c r="I382" i="13"/>
  <c r="I381" i="13"/>
  <c r="I380" i="13"/>
  <c r="I379" i="13"/>
  <c r="H378" i="13"/>
  <c r="I377" i="13"/>
  <c r="I376" i="13"/>
  <c r="I375" i="13"/>
  <c r="I374" i="13"/>
  <c r="I373" i="13"/>
  <c r="H372" i="13"/>
  <c r="I371" i="13"/>
  <c r="I370" i="13"/>
  <c r="I369" i="13"/>
  <c r="I368" i="13"/>
  <c r="I367" i="13"/>
  <c r="H360" i="13"/>
  <c r="I359" i="13"/>
  <c r="I358" i="13"/>
  <c r="I357" i="13"/>
  <c r="I356" i="13"/>
  <c r="I355" i="13"/>
  <c r="H354" i="13"/>
  <c r="I353" i="13"/>
  <c r="I352" i="13"/>
  <c r="I351" i="13"/>
  <c r="I350" i="13"/>
  <c r="I349" i="13"/>
  <c r="H348" i="13"/>
  <c r="I347" i="13"/>
  <c r="I346" i="13"/>
  <c r="I345" i="13"/>
  <c r="I344" i="13"/>
  <c r="I343" i="13"/>
  <c r="H342" i="13"/>
  <c r="I341" i="13"/>
  <c r="I340" i="13"/>
  <c r="I339" i="13"/>
  <c r="I338" i="13"/>
  <c r="I337" i="13"/>
  <c r="H336" i="13"/>
  <c r="I335" i="13"/>
  <c r="I334" i="13"/>
  <c r="I333" i="13"/>
  <c r="I332" i="13"/>
  <c r="I331" i="13"/>
  <c r="H330" i="13"/>
  <c r="I329" i="13"/>
  <c r="I328" i="13"/>
  <c r="I327" i="13"/>
  <c r="I326" i="13"/>
  <c r="I325" i="13"/>
  <c r="H324" i="13"/>
  <c r="I323" i="13"/>
  <c r="I322" i="13"/>
  <c r="I321" i="13"/>
  <c r="I320" i="13"/>
  <c r="I319" i="13"/>
  <c r="H318" i="13"/>
  <c r="I317" i="13"/>
  <c r="I316" i="13"/>
  <c r="I315" i="13"/>
  <c r="I314" i="13"/>
  <c r="I313" i="13"/>
  <c r="H312" i="13"/>
  <c r="I311" i="13"/>
  <c r="I310" i="13"/>
  <c r="I309" i="13"/>
  <c r="I308" i="13"/>
  <c r="I307" i="13"/>
  <c r="H306" i="13"/>
  <c r="I305" i="13"/>
  <c r="I304" i="13"/>
  <c r="I303" i="13"/>
  <c r="I302" i="13"/>
  <c r="I301" i="13"/>
  <c r="H300" i="13"/>
  <c r="I299" i="13"/>
  <c r="I298" i="13"/>
  <c r="I297" i="13"/>
  <c r="I296" i="13"/>
  <c r="I295" i="13"/>
  <c r="H294" i="13"/>
  <c r="I293" i="13"/>
  <c r="I292" i="13"/>
  <c r="I291" i="13"/>
  <c r="I290" i="13"/>
  <c r="I289" i="13"/>
  <c r="H288" i="13"/>
  <c r="I287" i="13"/>
  <c r="I286" i="13"/>
  <c r="I285" i="13"/>
  <c r="I284" i="13"/>
  <c r="I283" i="13"/>
  <c r="H282" i="13"/>
  <c r="I281" i="13"/>
  <c r="I280" i="13"/>
  <c r="I279" i="13"/>
  <c r="I278" i="13"/>
  <c r="I277" i="13"/>
  <c r="H276" i="13"/>
  <c r="I275" i="13"/>
  <c r="I274" i="13"/>
  <c r="I273" i="13"/>
  <c r="I272" i="13"/>
  <c r="I271" i="13"/>
  <c r="H270" i="13"/>
  <c r="I269" i="13"/>
  <c r="I268" i="13"/>
  <c r="I267" i="13"/>
  <c r="I266" i="13"/>
  <c r="I265" i="13"/>
  <c r="H264" i="13"/>
  <c r="I263" i="13"/>
  <c r="I262" i="13"/>
  <c r="I261" i="13"/>
  <c r="I260" i="13"/>
  <c r="I259" i="13"/>
  <c r="H258" i="13"/>
  <c r="I257" i="13"/>
  <c r="I256" i="13"/>
  <c r="I255" i="13"/>
  <c r="I254" i="13"/>
  <c r="I253" i="13"/>
  <c r="H252" i="13"/>
  <c r="I251" i="13"/>
  <c r="I250" i="13"/>
  <c r="I249" i="13"/>
  <c r="I248" i="13"/>
  <c r="I247" i="13"/>
  <c r="H246" i="13"/>
  <c r="I245" i="13"/>
  <c r="I244" i="13"/>
  <c r="I243" i="13"/>
  <c r="I242" i="13"/>
  <c r="I241" i="13"/>
  <c r="H240" i="13"/>
  <c r="I239" i="13"/>
  <c r="I238" i="13"/>
  <c r="I237" i="13"/>
  <c r="I236" i="13"/>
  <c r="I235" i="13"/>
  <c r="H234" i="13"/>
  <c r="I233" i="13"/>
  <c r="I232" i="13"/>
  <c r="I231" i="13"/>
  <c r="I230" i="13"/>
  <c r="I229" i="13"/>
  <c r="H228" i="13"/>
  <c r="I227" i="13"/>
  <c r="I226" i="13"/>
  <c r="I225" i="13"/>
  <c r="I224" i="13"/>
  <c r="I223" i="13"/>
  <c r="H222" i="13"/>
  <c r="I221" i="13"/>
  <c r="I220" i="13"/>
  <c r="I219" i="13"/>
  <c r="I218" i="13"/>
  <c r="I217" i="13"/>
  <c r="H216" i="13"/>
  <c r="I215" i="13"/>
  <c r="I214" i="13"/>
  <c r="I213" i="13"/>
  <c r="I212" i="13"/>
  <c r="I211" i="13"/>
  <c r="H210" i="13"/>
  <c r="I209" i="13"/>
  <c r="I208" i="13"/>
  <c r="I207" i="13"/>
  <c r="I206" i="13"/>
  <c r="I205" i="13"/>
  <c r="H204" i="13"/>
  <c r="I203" i="13"/>
  <c r="I202" i="13"/>
  <c r="I201" i="13"/>
  <c r="I200" i="13"/>
  <c r="I199" i="13"/>
  <c r="H198" i="13"/>
  <c r="I197" i="13"/>
  <c r="I196" i="13"/>
  <c r="I195" i="13"/>
  <c r="I194" i="13"/>
  <c r="I193" i="13"/>
  <c r="H192" i="13"/>
  <c r="I191" i="13"/>
  <c r="I190" i="13"/>
  <c r="I189" i="13"/>
  <c r="I188" i="13"/>
  <c r="I187" i="13"/>
  <c r="H186" i="13"/>
  <c r="I185" i="13"/>
  <c r="I184" i="13"/>
  <c r="I183" i="13"/>
  <c r="I182" i="13"/>
  <c r="I181" i="13"/>
  <c r="H180" i="13"/>
  <c r="I179" i="13"/>
  <c r="I178" i="13"/>
  <c r="I177" i="13"/>
  <c r="I176" i="13"/>
  <c r="I175" i="13"/>
  <c r="H168" i="13"/>
  <c r="I167" i="13"/>
  <c r="I166" i="13"/>
  <c r="I165" i="13"/>
  <c r="I164" i="13"/>
  <c r="I163" i="13"/>
  <c r="H162" i="13"/>
  <c r="I161" i="13"/>
  <c r="I160" i="13"/>
  <c r="I159" i="13"/>
  <c r="I158" i="13"/>
  <c r="I157" i="13"/>
  <c r="H156" i="13"/>
  <c r="I155" i="13"/>
  <c r="I154" i="13"/>
  <c r="I153" i="13"/>
  <c r="I152" i="13"/>
  <c r="I151" i="13"/>
  <c r="H150" i="13"/>
  <c r="I149" i="13"/>
  <c r="I148" i="13"/>
  <c r="I147" i="13"/>
  <c r="I146" i="13"/>
  <c r="I145" i="13"/>
  <c r="H144" i="13"/>
  <c r="I143" i="13"/>
  <c r="I142" i="13"/>
  <c r="I141" i="13"/>
  <c r="I140" i="13"/>
  <c r="I139" i="13"/>
  <c r="H138" i="13"/>
  <c r="I137" i="13"/>
  <c r="I136" i="13"/>
  <c r="I135" i="13"/>
  <c r="I134" i="13"/>
  <c r="I133" i="13"/>
  <c r="H132" i="13"/>
  <c r="I131" i="13"/>
  <c r="I130" i="13"/>
  <c r="I129" i="13"/>
  <c r="I128" i="13"/>
  <c r="I127" i="13"/>
  <c r="H126" i="13"/>
  <c r="I125" i="13"/>
  <c r="I124" i="13"/>
  <c r="I123" i="13"/>
  <c r="I122" i="13"/>
  <c r="I121" i="13"/>
  <c r="H120" i="13"/>
  <c r="I119" i="13"/>
  <c r="I118" i="13"/>
  <c r="I117" i="13"/>
  <c r="I116" i="13"/>
  <c r="I115" i="13"/>
  <c r="H114" i="13"/>
  <c r="I113" i="13"/>
  <c r="I112" i="13"/>
  <c r="I111" i="13"/>
  <c r="I110" i="13"/>
  <c r="I109" i="13"/>
  <c r="H108" i="13"/>
  <c r="I107" i="13"/>
  <c r="I106" i="13"/>
  <c r="I105" i="13"/>
  <c r="I104" i="13"/>
  <c r="I103" i="13"/>
  <c r="H102" i="13"/>
  <c r="I101" i="13"/>
  <c r="I100" i="13"/>
  <c r="I99" i="13"/>
  <c r="I98" i="13"/>
  <c r="I97" i="13"/>
  <c r="H96" i="13"/>
  <c r="I95" i="13"/>
  <c r="I94" i="13"/>
  <c r="I93" i="13"/>
  <c r="I92" i="13"/>
  <c r="I91" i="13"/>
  <c r="H90" i="13"/>
  <c r="I89" i="13"/>
  <c r="I88" i="13"/>
  <c r="I87" i="13"/>
  <c r="I86" i="13"/>
  <c r="I85" i="13"/>
  <c r="H84" i="13"/>
  <c r="I83" i="13"/>
  <c r="I82" i="13"/>
  <c r="I81" i="13"/>
  <c r="I80" i="13"/>
  <c r="I79" i="13"/>
  <c r="H78" i="13"/>
  <c r="I77" i="13"/>
  <c r="I76" i="13"/>
  <c r="I75" i="13"/>
  <c r="I74" i="13"/>
  <c r="I73" i="13"/>
  <c r="H72" i="13"/>
  <c r="I71" i="13"/>
  <c r="I70" i="13"/>
  <c r="I69" i="13"/>
  <c r="I68" i="13"/>
  <c r="I67" i="13"/>
  <c r="H66" i="13"/>
  <c r="I65" i="13"/>
  <c r="I64" i="13"/>
  <c r="I63" i="13"/>
  <c r="I62" i="13"/>
  <c r="I61" i="13"/>
  <c r="H60" i="13"/>
  <c r="I59" i="13"/>
  <c r="I58" i="13"/>
  <c r="I57" i="13"/>
  <c r="I56" i="13"/>
  <c r="I55" i="13"/>
  <c r="H54" i="13"/>
  <c r="I53" i="13"/>
  <c r="I52" i="13"/>
  <c r="I51" i="13"/>
  <c r="I50" i="13"/>
  <c r="I49" i="13"/>
  <c r="K101" i="19"/>
  <c r="J101" i="19"/>
  <c r="J498" i="19" s="1"/>
  <c r="I101" i="19"/>
  <c r="H101" i="19"/>
  <c r="L100" i="19"/>
  <c r="L99" i="19"/>
  <c r="L98" i="19"/>
  <c r="L97" i="19"/>
  <c r="L96" i="19"/>
  <c r="K95" i="19"/>
  <c r="J95" i="19"/>
  <c r="I95" i="19"/>
  <c r="H95" i="19"/>
  <c r="L94" i="19"/>
  <c r="L93" i="19"/>
  <c r="L92" i="19"/>
  <c r="L91" i="19"/>
  <c r="L90" i="19"/>
  <c r="K89" i="19"/>
  <c r="J89" i="19"/>
  <c r="I89" i="19"/>
  <c r="H89" i="19"/>
  <c r="L88" i="19"/>
  <c r="L87" i="19"/>
  <c r="L86" i="19"/>
  <c r="L85" i="19"/>
  <c r="L84" i="19"/>
  <c r="K83" i="19"/>
  <c r="J83" i="19"/>
  <c r="I83" i="19"/>
  <c r="H83" i="19"/>
  <c r="L82" i="19"/>
  <c r="L81" i="19"/>
  <c r="L80" i="19"/>
  <c r="L79" i="19"/>
  <c r="L78" i="19"/>
  <c r="K77" i="19"/>
  <c r="J77" i="19"/>
  <c r="I77" i="19"/>
  <c r="H77" i="19"/>
  <c r="L76" i="19"/>
  <c r="L75" i="19"/>
  <c r="L74" i="19"/>
  <c r="L73" i="19"/>
  <c r="L72" i="19"/>
  <c r="K71" i="19"/>
  <c r="J71" i="19"/>
  <c r="I71" i="19"/>
  <c r="H71" i="19"/>
  <c r="L70" i="19"/>
  <c r="L69" i="19"/>
  <c r="L68" i="19"/>
  <c r="L67" i="19"/>
  <c r="L66" i="19"/>
  <c r="K65" i="19"/>
  <c r="J65" i="19"/>
  <c r="I65" i="19"/>
  <c r="H65" i="19"/>
  <c r="L64" i="19"/>
  <c r="L63" i="19"/>
  <c r="L62" i="19"/>
  <c r="L61" i="19"/>
  <c r="L60" i="19"/>
  <c r="K59" i="19"/>
  <c r="J59" i="19"/>
  <c r="I59" i="19"/>
  <c r="H59" i="19"/>
  <c r="L58" i="19"/>
  <c r="L57" i="19"/>
  <c r="L56" i="19"/>
  <c r="L55" i="19"/>
  <c r="L54" i="19"/>
  <c r="K53" i="19"/>
  <c r="J53" i="19"/>
  <c r="I53" i="19"/>
  <c r="H53" i="19"/>
  <c r="L52" i="19"/>
  <c r="L51" i="19"/>
  <c r="L50" i="19"/>
  <c r="L49" i="19"/>
  <c r="L48" i="19"/>
  <c r="K47" i="19"/>
  <c r="J47" i="19"/>
  <c r="I47" i="19"/>
  <c r="H47" i="19"/>
  <c r="L46" i="19"/>
  <c r="L45" i="19"/>
  <c r="L44" i="19"/>
  <c r="L43" i="19"/>
  <c r="L42" i="19"/>
  <c r="K41" i="19"/>
  <c r="J41" i="19"/>
  <c r="I41" i="19"/>
  <c r="H41" i="19"/>
  <c r="L40" i="19"/>
  <c r="L39" i="19"/>
  <c r="L38" i="19"/>
  <c r="L37" i="19"/>
  <c r="L36" i="19"/>
  <c r="K35" i="19"/>
  <c r="J35" i="19"/>
  <c r="I35" i="19"/>
  <c r="H35" i="19"/>
  <c r="L34" i="19"/>
  <c r="L33" i="19"/>
  <c r="L32" i="19"/>
  <c r="L31" i="19"/>
  <c r="L30" i="19"/>
  <c r="K29" i="19"/>
  <c r="J29" i="19"/>
  <c r="I29" i="19"/>
  <c r="H29" i="19"/>
  <c r="L28" i="19"/>
  <c r="L27" i="19"/>
  <c r="L26" i="19"/>
  <c r="L25" i="19"/>
  <c r="L24" i="19"/>
  <c r="K23" i="19"/>
  <c r="J23" i="19"/>
  <c r="I23" i="19"/>
  <c r="H23" i="19"/>
  <c r="L22" i="19"/>
  <c r="L21" i="19"/>
  <c r="L20" i="19"/>
  <c r="L19" i="19"/>
  <c r="L18" i="19"/>
  <c r="K17" i="19"/>
  <c r="J17" i="19"/>
  <c r="I17" i="19"/>
  <c r="H17" i="19"/>
  <c r="L16" i="19"/>
  <c r="L15" i="19"/>
  <c r="L14" i="19"/>
  <c r="L13" i="19"/>
  <c r="L12" i="19"/>
  <c r="K11" i="19"/>
  <c r="J11" i="19"/>
  <c r="I11" i="19"/>
  <c r="H11" i="19"/>
  <c r="L10" i="19"/>
  <c r="L9" i="19"/>
  <c r="L8" i="19"/>
  <c r="L7" i="19"/>
  <c r="L6" i="19"/>
  <c r="A72" i="19"/>
  <c r="A78" i="19" s="1"/>
  <c r="A84" i="19" s="1"/>
  <c r="A90" i="19" s="1"/>
  <c r="A96" i="19" s="1"/>
  <c r="A102" i="19" s="1"/>
  <c r="A108" i="19" s="1"/>
  <c r="A114" i="19" s="1"/>
  <c r="A120" i="19" s="1"/>
  <c r="A126" i="19" s="1"/>
  <c r="A132" i="19" s="1"/>
  <c r="A138" i="19" s="1"/>
  <c r="A144" i="19" s="1"/>
  <c r="A150" i="19" s="1"/>
  <c r="A156" i="19" s="1"/>
  <c r="A162" i="19" s="1"/>
  <c r="A168" i="19" s="1"/>
  <c r="A174" i="19" s="1"/>
  <c r="A180" i="19" s="1"/>
  <c r="A186" i="19" s="1"/>
  <c r="A198" i="19" s="1"/>
  <c r="A204" i="19" s="1"/>
  <c r="A210" i="19" s="1"/>
  <c r="A216" i="19" s="1"/>
  <c r="A222" i="19" s="1"/>
  <c r="A228" i="19" s="1"/>
  <c r="A234" i="19" s="1"/>
  <c r="A240" i="19" s="1"/>
  <c r="A246" i="19" s="1"/>
  <c r="A252" i="19" s="1"/>
  <c r="A258" i="19" s="1"/>
  <c r="A264" i="19" s="1"/>
  <c r="A270" i="19" s="1"/>
  <c r="A276" i="19" s="1"/>
  <c r="A282" i="19" s="1"/>
  <c r="A288" i="19" s="1"/>
  <c r="A294" i="19" s="1"/>
  <c r="A300" i="19" s="1"/>
  <c r="A306" i="19" s="1"/>
  <c r="A312" i="19" s="1"/>
  <c r="A318" i="19" s="1"/>
  <c r="A324" i="19" s="1"/>
  <c r="A330" i="19" s="1"/>
  <c r="A336" i="19" s="1"/>
  <c r="A12" i="19"/>
  <c r="A18" i="19" s="1"/>
  <c r="A24" i="19" s="1"/>
  <c r="A30" i="19" s="1"/>
  <c r="A36" i="19" s="1"/>
  <c r="A42" i="19" s="1"/>
  <c r="A54" i="19" s="1"/>
  <c r="A60" i="19" s="1"/>
  <c r="I498" i="19" l="1"/>
  <c r="N109" i="20"/>
  <c r="H740" i="13"/>
  <c r="K498" i="19"/>
  <c r="H498" i="19"/>
  <c r="A342" i="19"/>
  <c r="A348" i="19" s="1"/>
  <c r="A354" i="19" s="1"/>
  <c r="A360" i="19" s="1"/>
  <c r="A366" i="19" s="1"/>
  <c r="A372" i="19" s="1"/>
  <c r="A378" i="19" s="1"/>
  <c r="A384" i="19" s="1"/>
  <c r="A390" i="19" s="1"/>
  <c r="A396" i="19" s="1"/>
  <c r="A402" i="19" s="1"/>
  <c r="A408" i="19" s="1"/>
  <c r="A414" i="19" s="1"/>
  <c r="A420" i="19" s="1"/>
  <c r="A426" i="19" s="1"/>
  <c r="A432" i="19" s="1"/>
  <c r="A438" i="19" s="1"/>
  <c r="A444" i="19" s="1"/>
  <c r="A450" i="19" s="1"/>
  <c r="A456" i="19" s="1"/>
  <c r="A462" i="19" s="1"/>
  <c r="A468" i="19" s="1"/>
  <c r="A474" i="19" s="1"/>
  <c r="A480" i="19" s="1"/>
  <c r="A486" i="19" s="1"/>
  <c r="A492" i="19" s="1"/>
  <c r="I60" i="13"/>
  <c r="K60" i="13" s="1"/>
  <c r="I72" i="13"/>
  <c r="K72" i="13" s="1"/>
  <c r="I84" i="13"/>
  <c r="K84" i="13" s="1"/>
  <c r="I96" i="13"/>
  <c r="K96" i="13" s="1"/>
  <c r="I108" i="13"/>
  <c r="K108" i="13" s="1"/>
  <c r="I132" i="13"/>
  <c r="K132" i="13" s="1"/>
  <c r="I144" i="13"/>
  <c r="K144" i="13" s="1"/>
  <c r="I156" i="13"/>
  <c r="K156" i="13" s="1"/>
  <c r="I168" i="13"/>
  <c r="K168" i="13" s="1"/>
  <c r="I186" i="13"/>
  <c r="K186" i="13" s="1"/>
  <c r="I198" i="13"/>
  <c r="K198" i="13" s="1"/>
  <c r="I210" i="13"/>
  <c r="K210" i="13" s="1"/>
  <c r="I222" i="13"/>
  <c r="K222" i="13" s="1"/>
  <c r="I234" i="13"/>
  <c r="K234" i="13" s="1"/>
  <c r="I246" i="13"/>
  <c r="K246" i="13" s="1"/>
  <c r="I258" i="13"/>
  <c r="K258" i="13" s="1"/>
  <c r="I120" i="13"/>
  <c r="K120" i="13" s="1"/>
  <c r="I270" i="13"/>
  <c r="K270" i="13" s="1"/>
  <c r="L17" i="19"/>
  <c r="L41" i="19"/>
  <c r="N41" i="19" s="1"/>
  <c r="L59" i="19"/>
  <c r="N59" i="19" s="1"/>
  <c r="L83" i="19"/>
  <c r="N83" i="19" s="1"/>
  <c r="L11" i="19"/>
  <c r="N11" i="19" s="1"/>
  <c r="L101" i="19"/>
  <c r="L29" i="19"/>
  <c r="N29" i="19" s="1"/>
  <c r="L71" i="19"/>
  <c r="N71" i="19" s="1"/>
  <c r="L95" i="19"/>
  <c r="N95" i="19" s="1"/>
  <c r="L35" i="19"/>
  <c r="L77" i="19"/>
  <c r="N77" i="19" s="1"/>
  <c r="L23" i="19"/>
  <c r="L47" i="19"/>
  <c r="N47" i="19" s="1"/>
  <c r="L65" i="19"/>
  <c r="N65" i="19" s="1"/>
  <c r="L89" i="19"/>
  <c r="N89" i="19" s="1"/>
  <c r="I282" i="13"/>
  <c r="K282" i="13" s="1"/>
  <c r="I18" i="13"/>
  <c r="K18" i="13" s="1"/>
  <c r="I294" i="13"/>
  <c r="K294" i="13" s="1"/>
  <c r="I24" i="13"/>
  <c r="I306" i="13"/>
  <c r="K306" i="13" s="1"/>
  <c r="I318" i="13"/>
  <c r="K318" i="13" s="1"/>
  <c r="I330" i="13"/>
  <c r="K330" i="13" s="1"/>
  <c r="I342" i="13"/>
  <c r="K342" i="13" s="1"/>
  <c r="I354" i="13"/>
  <c r="K354" i="13" s="1"/>
  <c r="I372" i="13"/>
  <c r="K372" i="13" s="1"/>
  <c r="I384" i="13"/>
  <c r="K384" i="13" s="1"/>
  <c r="I12" i="13"/>
  <c r="K12" i="13" s="1"/>
  <c r="I36" i="13"/>
  <c r="K36" i="13" s="1"/>
  <c r="I54" i="13"/>
  <c r="K54" i="13" s="1"/>
  <c r="I66" i="13"/>
  <c r="K66" i="13" s="1"/>
  <c r="I78" i="13"/>
  <c r="K78" i="13" s="1"/>
  <c r="I90" i="13"/>
  <c r="K90" i="13" s="1"/>
  <c r="I102" i="13"/>
  <c r="K102" i="13" s="1"/>
  <c r="I114" i="13"/>
  <c r="K114" i="13" s="1"/>
  <c r="I126" i="13"/>
  <c r="K126" i="13" s="1"/>
  <c r="I138" i="13"/>
  <c r="K138" i="13" s="1"/>
  <c r="I150" i="13"/>
  <c r="K150" i="13" s="1"/>
  <c r="I162" i="13"/>
  <c r="K162" i="13" s="1"/>
  <c r="I180" i="13"/>
  <c r="K180" i="13" s="1"/>
  <c r="I192" i="13"/>
  <c r="K192" i="13" s="1"/>
  <c r="I204" i="13"/>
  <c r="K204" i="13" s="1"/>
  <c r="I216" i="13"/>
  <c r="K216" i="13" s="1"/>
  <c r="I228" i="13"/>
  <c r="K228" i="13" s="1"/>
  <c r="I240" i="13"/>
  <c r="K240" i="13" s="1"/>
  <c r="I252" i="13"/>
  <c r="K252" i="13" s="1"/>
  <c r="I264" i="13"/>
  <c r="K264" i="13" s="1"/>
  <c r="I276" i="13"/>
  <c r="K276" i="13" s="1"/>
  <c r="I288" i="13"/>
  <c r="K288" i="13" s="1"/>
  <c r="I300" i="13"/>
  <c r="K300" i="13" s="1"/>
  <c r="I312" i="13"/>
  <c r="K312" i="13" s="1"/>
  <c r="I324" i="13"/>
  <c r="K324" i="13" s="1"/>
  <c r="I336" i="13"/>
  <c r="K336" i="13" s="1"/>
  <c r="I348" i="13"/>
  <c r="K348" i="13" s="1"/>
  <c r="I360" i="13"/>
  <c r="K360" i="13" s="1"/>
  <c r="I378" i="13"/>
  <c r="K378" i="13" s="1"/>
  <c r="I390" i="13"/>
  <c r="I30" i="13"/>
  <c r="L53" i="19"/>
  <c r="N53" i="19" s="1"/>
  <c r="N17" i="19"/>
  <c r="I740" i="13" l="1"/>
  <c r="N101" i="19"/>
  <c r="L498" i="19"/>
  <c r="G8" i="11" s="1"/>
  <c r="H8" i="11" s="1"/>
  <c r="N23" i="19"/>
  <c r="N35" i="19"/>
  <c r="K390" i="13"/>
  <c r="K740" i="13" s="1"/>
  <c r="K24" i="13"/>
  <c r="K30" i="13"/>
  <c r="F33" i="11"/>
  <c r="N498" i="19" l="1"/>
  <c r="K742" i="13"/>
  <c r="E43" i="23"/>
  <c r="D26" i="23" l="1"/>
  <c r="F17" i="23"/>
  <c r="E37" i="23"/>
  <c r="E41" i="23" s="1"/>
  <c r="F37" i="23" l="1"/>
  <c r="F25" i="23" l="1"/>
  <c r="D38" i="21" l="1"/>
  <c r="D116" i="20"/>
  <c r="D51" i="17"/>
  <c r="D55" i="15"/>
  <c r="F14" i="23" l="1"/>
  <c r="K49" i="15"/>
  <c r="J49" i="15"/>
  <c r="H49" i="15"/>
  <c r="C33" i="11" l="1"/>
  <c r="F19" i="23" l="1"/>
  <c r="F25" i="11" l="1"/>
  <c r="F11" i="23"/>
  <c r="M30" i="21" l="1"/>
  <c r="F24" i="23" s="1"/>
  <c r="K30" i="21"/>
  <c r="H30" i="21"/>
  <c r="P30" i="21"/>
  <c r="F22" i="23"/>
  <c r="M36" i="9"/>
  <c r="F21" i="23" s="1"/>
  <c r="P36" i="9"/>
  <c r="F13" i="23"/>
  <c r="M18" i="14"/>
  <c r="F12" i="23" s="1"/>
  <c r="M18" i="18"/>
  <c r="F9" i="23" s="1"/>
  <c r="F8" i="23"/>
  <c r="D26" i="11" l="1"/>
  <c r="D27" i="11" s="1"/>
  <c r="F7" i="23"/>
  <c r="F20" i="23" l="1"/>
  <c r="K109" i="6" l="1"/>
  <c r="F15" i="23"/>
  <c r="F16" i="23"/>
  <c r="M30" i="10" l="1"/>
  <c r="F23" i="23" s="1"/>
  <c r="P29" i="10"/>
  <c r="P23" i="10"/>
  <c r="P30" i="10" l="1"/>
  <c r="F10" i="23" l="1"/>
  <c r="P23" i="16" l="1"/>
  <c r="P17" i="16"/>
  <c r="P11" i="16"/>
  <c r="P109" i="6"/>
  <c r="P35" i="5"/>
  <c r="P114" i="5" s="1"/>
  <c r="P17" i="14"/>
  <c r="P18" i="14" s="1"/>
  <c r="P17" i="18"/>
  <c r="P18" i="18" s="1"/>
  <c r="P48" i="16" l="1"/>
  <c r="P42" i="17"/>
  <c r="H109" i="6"/>
  <c r="P60" i="22"/>
  <c r="P49" i="15"/>
  <c r="I49" i="15" l="1"/>
  <c r="G14" i="23" l="1"/>
  <c r="H14" i="23" s="1"/>
  <c r="F16" i="11" l="1"/>
  <c r="H60" i="22"/>
  <c r="K60" i="22" l="1"/>
  <c r="J60" i="22"/>
  <c r="I60" i="22"/>
  <c r="L60" i="22" l="1"/>
  <c r="G16" i="11" l="1"/>
  <c r="G16" i="23"/>
  <c r="H16" i="11" l="1"/>
  <c r="H16" i="23"/>
  <c r="G25" i="11"/>
  <c r="H25" i="11" s="1"/>
  <c r="G25" i="23" l="1"/>
  <c r="H25" i="23" s="1"/>
  <c r="F24" i="11" l="1"/>
  <c r="F23" i="11"/>
  <c r="J30" i="21"/>
  <c r="I30" i="21"/>
  <c r="L30" i="21" l="1"/>
  <c r="G24" i="23" s="1"/>
  <c r="H24" i="23" s="1"/>
  <c r="G24" i="11" l="1"/>
  <c r="N30" i="21"/>
  <c r="F20" i="11" l="1"/>
  <c r="F12" i="11"/>
  <c r="F11" i="11"/>
  <c r="H24" i="11" l="1"/>
  <c r="F7" i="11"/>
  <c r="F10" i="11"/>
  <c r="F9" i="11"/>
  <c r="F14" i="11"/>
  <c r="F13" i="11"/>
  <c r="F15" i="11"/>
  <c r="F17" i="11"/>
  <c r="F19" i="11"/>
  <c r="F22" i="11"/>
  <c r="K17" i="18" l="1"/>
  <c r="K18" i="18" s="1"/>
  <c r="J17" i="18"/>
  <c r="I17" i="18"/>
  <c r="H17" i="18"/>
  <c r="H18" i="18" s="1"/>
  <c r="L16" i="18"/>
  <c r="L15" i="18"/>
  <c r="L14" i="18"/>
  <c r="L13" i="18"/>
  <c r="L12" i="18"/>
  <c r="J18" i="18"/>
  <c r="I18" i="18"/>
  <c r="G22" i="11" l="1"/>
  <c r="H22" i="11" s="1"/>
  <c r="G22" i="23"/>
  <c r="H22" i="23" s="1"/>
  <c r="L17" i="18"/>
  <c r="N17" i="18" s="1"/>
  <c r="K23" i="16"/>
  <c r="J23" i="16"/>
  <c r="J48" i="16" s="1"/>
  <c r="I23" i="16"/>
  <c r="I48" i="16" s="1"/>
  <c r="H23" i="16"/>
  <c r="H48" i="16" s="1"/>
  <c r="L22" i="16"/>
  <c r="L21" i="16"/>
  <c r="L20" i="16"/>
  <c r="L19" i="16"/>
  <c r="L18" i="16"/>
  <c r="K17" i="16"/>
  <c r="J17" i="16"/>
  <c r="I17" i="16"/>
  <c r="H17" i="16"/>
  <c r="L16" i="16"/>
  <c r="L15" i="16"/>
  <c r="L14" i="16"/>
  <c r="L13" i="16"/>
  <c r="L12" i="16"/>
  <c r="A12" i="16"/>
  <c r="K11" i="16"/>
  <c r="J11" i="16"/>
  <c r="I11" i="16"/>
  <c r="H11" i="16"/>
  <c r="L10" i="16"/>
  <c r="L9" i="16"/>
  <c r="L8" i="16"/>
  <c r="L7" i="16"/>
  <c r="L6" i="16"/>
  <c r="K48" i="16" l="1"/>
  <c r="L18" i="18"/>
  <c r="G9" i="23" s="1"/>
  <c r="H9" i="23" s="1"/>
  <c r="F18" i="11"/>
  <c r="F18" i="23"/>
  <c r="F26" i="23" s="1"/>
  <c r="D35" i="23" s="1"/>
  <c r="J42" i="17"/>
  <c r="H42" i="17"/>
  <c r="K42" i="17"/>
  <c r="I42" i="17"/>
  <c r="H8" i="23"/>
  <c r="N18" i="18"/>
  <c r="G9" i="11"/>
  <c r="H9" i="11" s="1"/>
  <c r="L11" i="16"/>
  <c r="L23" i="16"/>
  <c r="L17" i="16"/>
  <c r="N17" i="16" s="1"/>
  <c r="N23" i="16" l="1"/>
  <c r="L48" i="16"/>
  <c r="G8" i="23"/>
  <c r="N11" i="16"/>
  <c r="N48" i="16" l="1"/>
  <c r="G18" i="11"/>
  <c r="H18" i="11" s="1"/>
  <c r="G18" i="23"/>
  <c r="H18" i="23" s="1"/>
  <c r="G20" i="11"/>
  <c r="H20" i="11" s="1"/>
  <c r="G20" i="23"/>
  <c r="H20" i="23" s="1"/>
  <c r="G14" i="11" l="1"/>
  <c r="H14" i="11" s="1"/>
  <c r="A12" i="14"/>
  <c r="A18" i="1"/>
  <c r="K35" i="5"/>
  <c r="K114" i="5" s="1"/>
  <c r="J35" i="5"/>
  <c r="J114" i="5" s="1"/>
  <c r="I35" i="5"/>
  <c r="I114" i="5" s="1"/>
  <c r="H35" i="5"/>
  <c r="H114" i="5" s="1"/>
  <c r="L34" i="5"/>
  <c r="L33" i="5"/>
  <c r="L32" i="5"/>
  <c r="L31" i="5"/>
  <c r="L30" i="5"/>
  <c r="A30" i="5"/>
  <c r="A36" i="5" s="1"/>
  <c r="A42" i="5" s="1"/>
  <c r="A48" i="5" s="1"/>
  <c r="A54" i="5" s="1"/>
  <c r="A60" i="5" s="1"/>
  <c r="A66" i="5" s="1"/>
  <c r="A72" i="5" s="1"/>
  <c r="A78" i="5" s="1"/>
  <c r="A84" i="5" s="1"/>
  <c r="A90" i="5" s="1"/>
  <c r="A96" i="5" s="1"/>
  <c r="A102" i="5" s="1"/>
  <c r="A108" i="5" s="1"/>
  <c r="A36" i="1" l="1"/>
  <c r="A42" i="1" s="1"/>
  <c r="A48" i="1" s="1"/>
  <c r="A54" i="1" s="1"/>
  <c r="A60" i="1" s="1"/>
  <c r="A66" i="1" s="1"/>
  <c r="A72" i="1" s="1"/>
  <c r="A78" i="1" s="1"/>
  <c r="A90" i="1" s="1"/>
  <c r="A96" i="1" s="1"/>
  <c r="A24" i="1"/>
  <c r="K18" i="14"/>
  <c r="J18" i="14"/>
  <c r="I18" i="14"/>
  <c r="H18" i="14"/>
  <c r="J109" i="6"/>
  <c r="I109" i="6"/>
  <c r="G7" i="23"/>
  <c r="H7" i="23" s="1"/>
  <c r="L35" i="5"/>
  <c r="L114" i="5" s="1"/>
  <c r="F21" i="11"/>
  <c r="N35" i="5" l="1"/>
  <c r="N114" i="5" s="1"/>
  <c r="L109" i="6"/>
  <c r="N18" i="14"/>
  <c r="L18" i="14"/>
  <c r="G12" i="23" s="1"/>
  <c r="H12" i="23" s="1"/>
  <c r="G10" i="23"/>
  <c r="H10" i="23" s="1"/>
  <c r="H36" i="9"/>
  <c r="I36" i="9"/>
  <c r="K36" i="9"/>
  <c r="J36" i="9"/>
  <c r="G12" i="11" l="1"/>
  <c r="H12" i="11" s="1"/>
  <c r="G11" i="11"/>
  <c r="H11" i="11" s="1"/>
  <c r="G11" i="23"/>
  <c r="H11" i="23" s="1"/>
  <c r="G13" i="11"/>
  <c r="H13" i="11" s="1"/>
  <c r="G13" i="23"/>
  <c r="H13" i="23" s="1"/>
  <c r="G15" i="11"/>
  <c r="H15" i="11" s="1"/>
  <c r="G15" i="23"/>
  <c r="H15" i="23" s="1"/>
  <c r="G17" i="11"/>
  <c r="H17" i="11" s="1"/>
  <c r="G17" i="23"/>
  <c r="H17" i="23" s="1"/>
  <c r="G10" i="11"/>
  <c r="H10" i="11" s="1"/>
  <c r="N36" i="9"/>
  <c r="N105" i="1"/>
  <c r="G7" i="11"/>
  <c r="H7" i="11" s="1"/>
  <c r="L36" i="9"/>
  <c r="F26" i="11"/>
  <c r="G19" i="11" l="1"/>
  <c r="H19" i="11" s="1"/>
  <c r="G19" i="23"/>
  <c r="H19" i="23" s="1"/>
  <c r="G21" i="11"/>
  <c r="H21" i="11" s="1"/>
  <c r="G21" i="23"/>
  <c r="H21" i="23" l="1"/>
  <c r="L30" i="10"/>
  <c r="G23" i="23" s="1"/>
  <c r="H23" i="23" s="1"/>
  <c r="G26" i="23" l="1"/>
  <c r="H35" i="23" s="1"/>
  <c r="H37" i="23" s="1"/>
  <c r="E47" i="23" s="1"/>
  <c r="H26" i="23"/>
  <c r="D37" i="23"/>
  <c r="E39" i="23" s="1"/>
  <c r="G35" i="23"/>
  <c r="K30" i="10"/>
  <c r="I30" i="10"/>
  <c r="G23" i="11"/>
  <c r="J30" i="10"/>
  <c r="H30" i="10"/>
  <c r="N30" i="10"/>
  <c r="G37" i="23" l="1"/>
  <c r="I35" i="23"/>
  <c r="I37" i="23" s="1"/>
  <c r="H23" i="11"/>
  <c r="H26" i="11" s="1"/>
  <c r="G26" i="11"/>
  <c r="E45" i="23" l="1"/>
  <c r="E49" i="23" s="1"/>
</calcChain>
</file>

<file path=xl/sharedStrings.xml><?xml version="1.0" encoding="utf-8"?>
<sst xmlns="http://schemas.openxmlformats.org/spreadsheetml/2006/main" count="2853" uniqueCount="925">
  <si>
    <t>Sr.No</t>
  </si>
  <si>
    <t>Class</t>
  </si>
  <si>
    <t>Date of Joining</t>
  </si>
  <si>
    <t>Room Rent</t>
  </si>
  <si>
    <t>Water &amp; Electricity Charges</t>
  </si>
  <si>
    <t>Other Activity</t>
  </si>
  <si>
    <t>Outstanding Fee</t>
  </si>
  <si>
    <t>Remark</t>
  </si>
  <si>
    <t>Receipt No.</t>
  </si>
  <si>
    <t>Receipt Date</t>
  </si>
  <si>
    <t>Dr.Rafiq Zakaria Campus</t>
  </si>
  <si>
    <t>Maulana Azad Complex of Hostel</t>
  </si>
  <si>
    <t>Dr.Rafiq Zakaria Marg, Rauza Bagh, Aurangabad</t>
  </si>
  <si>
    <t>Name of Student &amp; Mobile</t>
  </si>
  <si>
    <t>Wing &amp; Room</t>
  </si>
  <si>
    <t>Total Fees Collection</t>
  </si>
  <si>
    <t xml:space="preserve">NOTE: </t>
  </si>
  <si>
    <t>Total</t>
  </si>
  <si>
    <t>Admited Students</t>
  </si>
  <si>
    <t xml:space="preserve">Approved Fees </t>
  </si>
  <si>
    <t>Fees Outstanding</t>
  </si>
  <si>
    <t xml:space="preserve">Name of Course </t>
  </si>
  <si>
    <t>XI / XII / B.com / BBA /B.Sc / BCA</t>
  </si>
  <si>
    <t>Temporary Admission</t>
  </si>
  <si>
    <t>B.Pharm II Year</t>
  </si>
  <si>
    <t>B.Pharm III Year</t>
  </si>
  <si>
    <t>g</t>
  </si>
  <si>
    <t>B.Pharm I Year</t>
  </si>
  <si>
    <t>Wing</t>
  </si>
  <si>
    <t>General A</t>
  </si>
  <si>
    <t>General B</t>
  </si>
  <si>
    <t xml:space="preserve"> A</t>
  </si>
  <si>
    <t xml:space="preserve"> B</t>
  </si>
  <si>
    <t xml:space="preserve">A </t>
  </si>
  <si>
    <t>B</t>
  </si>
  <si>
    <t>A</t>
  </si>
  <si>
    <t>B.Pharm IV Year</t>
  </si>
  <si>
    <t>M.Pharm I &amp; II Year</t>
  </si>
  <si>
    <t>B.Ed I &amp; II Year</t>
  </si>
  <si>
    <t>M.Sc I &amp; II Year</t>
  </si>
  <si>
    <t xml:space="preserve">D.Pharmacy </t>
  </si>
  <si>
    <t xml:space="preserve">Water &amp; Electricity </t>
  </si>
  <si>
    <t xml:space="preserve"> Fees Received</t>
  </si>
  <si>
    <t xml:space="preserve"> Total Fees </t>
  </si>
  <si>
    <t>Security Deposit</t>
  </si>
  <si>
    <t>Others Activity</t>
  </si>
  <si>
    <t>Regi. Fee</t>
  </si>
  <si>
    <t>B.Pharm IVYear</t>
  </si>
  <si>
    <t>UTR</t>
  </si>
  <si>
    <t xml:space="preserve">Approved Hostel Fees </t>
  </si>
  <si>
    <t>Approved Hostel Fees</t>
  </si>
  <si>
    <t>C</t>
  </si>
  <si>
    <t>D</t>
  </si>
  <si>
    <t>₹</t>
  </si>
  <si>
    <t>Fees Structure per Student</t>
  </si>
  <si>
    <t>Total Fees Collection  (a)</t>
  </si>
  <si>
    <t>Development Fees      (b)</t>
  </si>
  <si>
    <t>Tuition Fees     (a) - (b)</t>
  </si>
  <si>
    <t>Fees Collection Receivable for 2024-25   A</t>
  </si>
  <si>
    <t>Fees Collection Receivable for 2023-24   B</t>
  </si>
  <si>
    <t>Old Outstanding for 2022-2023  C</t>
  </si>
  <si>
    <t>Total Receivable A + B+C</t>
  </si>
  <si>
    <t xml:space="preserve"> Fees Received During the Year       2024-2025</t>
  </si>
  <si>
    <t>Fees Outstanding for 2024-25</t>
  </si>
  <si>
    <t>Total Old outstanding fees for the Year 2022-2023 ( C)</t>
  </si>
  <si>
    <t>Total  ( A )  +  ( B )  + ( C )  for the Year 2024-2025</t>
  </si>
  <si>
    <t>Fees Received during the year 2024-2025</t>
  </si>
  <si>
    <t>Total Fees outstanding as on 31/03/2025</t>
  </si>
  <si>
    <t>Total Fees Receivable for the year 2024-2025 ( A )</t>
  </si>
  <si>
    <t>Total Old outstanding fees for the Year 2023-2024 ( B )</t>
  </si>
  <si>
    <t>Y.B.</t>
  </si>
  <si>
    <t>MACA</t>
  </si>
  <si>
    <t>MCE</t>
  </si>
  <si>
    <t>KNPP</t>
  </si>
  <si>
    <t>B-07</t>
  </si>
  <si>
    <t>06.05.2025</t>
  </si>
  <si>
    <t xml:space="preserve"> 01.05.2025 to 01.03.2026</t>
  </si>
  <si>
    <r>
      <t xml:space="preserve">Govt. Medical College A.bad. </t>
    </r>
    <r>
      <rPr>
        <sz val="10"/>
        <rFont val="Times New Roman"/>
        <family val="1"/>
      </rPr>
      <t>Lab.Tech.I</t>
    </r>
  </si>
  <si>
    <t>Umershahkhan Jaber Shahkhan, at. Dhawda Tq.Bhokardan, Jalna, 8888546467, 9860656367</t>
  </si>
  <si>
    <t>UTR/Cash</t>
  </si>
  <si>
    <t>C-17</t>
  </si>
  <si>
    <t>Exam</t>
  </si>
  <si>
    <t>04.04.2025 to 04.05.2025</t>
  </si>
  <si>
    <t>05.04.2025</t>
  </si>
  <si>
    <t>01 Month</t>
  </si>
  <si>
    <t>Temporary</t>
  </si>
  <si>
    <t>Admission</t>
  </si>
  <si>
    <t>Shaikh Aafak,9993143011</t>
  </si>
  <si>
    <t>B-03</t>
  </si>
  <si>
    <t>Sayyad Sohel Rashid, 8788719654</t>
  </si>
  <si>
    <t>C-29</t>
  </si>
  <si>
    <t>14.01.2025 to 14.04.2025</t>
  </si>
  <si>
    <t>07.04.2025</t>
  </si>
  <si>
    <t>02 Month</t>
  </si>
  <si>
    <t>Shubham Gore, 8850959694</t>
  </si>
  <si>
    <t>01.01.2025 to 01.05.2025</t>
  </si>
  <si>
    <t>08.04.2025</t>
  </si>
  <si>
    <t>04 Month</t>
  </si>
  <si>
    <t>Umaid Ahmed Khan, 8180869938</t>
  </si>
  <si>
    <t>09.04.2025 to 09.05.2025</t>
  </si>
  <si>
    <t>09.04.2025</t>
  </si>
  <si>
    <t>C-11</t>
  </si>
  <si>
    <t>B-02</t>
  </si>
  <si>
    <t>Sarang Vinayak, 8766921782</t>
  </si>
  <si>
    <t>C-13</t>
  </si>
  <si>
    <t>21.04.2025 to 23.04.2025</t>
  </si>
  <si>
    <t>21.04.2025</t>
  </si>
  <si>
    <t>03 Days</t>
  </si>
  <si>
    <t>Ahtesham Faheem, 9146249860</t>
  </si>
  <si>
    <t>C-18</t>
  </si>
  <si>
    <t>23.04.2025</t>
  </si>
  <si>
    <t>23.04.2025 to 23.05.2025</t>
  </si>
  <si>
    <t>25.04.2025</t>
  </si>
  <si>
    <t>Ashish Prabhakar, 9763784329</t>
  </si>
  <si>
    <t>C-22</t>
  </si>
  <si>
    <t>10.04.2025 to 10.05.2025</t>
  </si>
  <si>
    <t>Sahil Yonus Shaikh, 9730606496</t>
  </si>
  <si>
    <t>C-09</t>
  </si>
  <si>
    <t>Shaikh Rizwan, 9960736021</t>
  </si>
  <si>
    <t>C-26</t>
  </si>
  <si>
    <t>26.04.2025 to 26.05.2025</t>
  </si>
  <si>
    <t>TET Exam</t>
  </si>
  <si>
    <t>26.04.2025</t>
  </si>
  <si>
    <t>Sameer Shaikh, 7057860996</t>
  </si>
  <si>
    <t>B.Ed. Exam</t>
  </si>
  <si>
    <t>28.04.2025 to 28.05.2025</t>
  </si>
  <si>
    <t>28.04.2025</t>
  </si>
  <si>
    <t>Shoeb Khan, 8956665278</t>
  </si>
  <si>
    <t>28.04.2025 to 07.05.2025</t>
  </si>
  <si>
    <t>29.04.2025</t>
  </si>
  <si>
    <t>10 Days</t>
  </si>
  <si>
    <t xml:space="preserve">1) Shaikh Waseem, 8888167861               </t>
  </si>
  <si>
    <t>Shaikh Kamran, 8888167861</t>
  </si>
  <si>
    <t>C-20</t>
  </si>
  <si>
    <t>01 Day</t>
  </si>
  <si>
    <t>Syed Sabeel, 8888109620</t>
  </si>
  <si>
    <t>C-04</t>
  </si>
  <si>
    <t>27.042025 to 28.04.2025</t>
  </si>
  <si>
    <t>02 Days</t>
  </si>
  <si>
    <t>Shaikh Zuber, 9975336869</t>
  </si>
  <si>
    <t>28.04.2025 to 29.04.2025</t>
  </si>
  <si>
    <t>C-35</t>
  </si>
  <si>
    <t>M.A. Exam</t>
  </si>
  <si>
    <t>29.04.2025 to 29.05.2025</t>
  </si>
  <si>
    <t>Sayyed Mubeen, 8308318378</t>
  </si>
  <si>
    <t>Sayyed Majid Ali, 7709766552</t>
  </si>
  <si>
    <t>Zahed Khan, 9730786176</t>
  </si>
  <si>
    <t>C-31</t>
  </si>
  <si>
    <t>28.04.2025 to 05.05.2025</t>
  </si>
  <si>
    <t>08 Days</t>
  </si>
  <si>
    <t>Wasifur Rahman, 9665882758</t>
  </si>
  <si>
    <t>Zakie Ahmad, 9405701838</t>
  </si>
  <si>
    <t>Shaikh Uzair, 9370520132</t>
  </si>
  <si>
    <t>C-27</t>
  </si>
  <si>
    <t>29.04.2025 to 30.04.2025</t>
  </si>
  <si>
    <t>Majid Husain, 9209138775</t>
  </si>
  <si>
    <t>29.04.2025 to 06.05.2025</t>
  </si>
  <si>
    <t>02.05.2025</t>
  </si>
  <si>
    <t>09 Days</t>
  </si>
  <si>
    <t>Akash G.Poghe, 7498495559</t>
  </si>
  <si>
    <t>M.Sc. Exam</t>
  </si>
  <si>
    <t>30.04.2025 to 01.05.2025</t>
  </si>
  <si>
    <t>01.05.2025</t>
  </si>
  <si>
    <t>Sanjay R. Gupta, 9702964893</t>
  </si>
  <si>
    <t>Akshay D. Patil, 9021472812</t>
  </si>
  <si>
    <t>Khan Naved, 7666164369</t>
  </si>
  <si>
    <t>30.04.2025 to 02.05.2025</t>
  </si>
  <si>
    <t>Mohammad Zuber, 9284634966</t>
  </si>
  <si>
    <t>Rayees Zafar Khan, 9860248427</t>
  </si>
  <si>
    <t xml:space="preserve">03.05.2025 </t>
  </si>
  <si>
    <t>03.05.2025</t>
  </si>
  <si>
    <t>Ilahi Noor Ahmed, 9130190914</t>
  </si>
  <si>
    <t>02.05.2025 to 14.05.2025</t>
  </si>
  <si>
    <t>13 Days</t>
  </si>
  <si>
    <t>Saquib Imran Shah, 9730252683</t>
  </si>
  <si>
    <t>C-24</t>
  </si>
  <si>
    <t>03.05.2025 to 08.05.2025</t>
  </si>
  <si>
    <t>06 Days</t>
  </si>
  <si>
    <t>Mohd Fazil, 7767975047</t>
  </si>
  <si>
    <t>Faiz Ahmad, 7058837575</t>
  </si>
  <si>
    <t>Pathan Arbaaz, 9561461786</t>
  </si>
  <si>
    <t>C-30</t>
  </si>
  <si>
    <t>05.05.2025 to 08.05.2025</t>
  </si>
  <si>
    <t>04 Days</t>
  </si>
  <si>
    <t>Syed Mujahid, 7757861716</t>
  </si>
  <si>
    <t>C-19</t>
  </si>
  <si>
    <t>05.05.2025 to 09.05.2025</t>
  </si>
  <si>
    <t>05 Days</t>
  </si>
  <si>
    <t>Muzammil Raza, 8055260041</t>
  </si>
  <si>
    <t>C-21</t>
  </si>
  <si>
    <t>Qureshi Farhan, 9673938815</t>
  </si>
  <si>
    <t>A-03</t>
  </si>
  <si>
    <t>Rashshad Ahmad, 9766454956</t>
  </si>
  <si>
    <t>C-15</t>
  </si>
  <si>
    <t>Mujaheed Khan, 9096849295</t>
  </si>
  <si>
    <t>A-13</t>
  </si>
  <si>
    <t>05.05.2025 to 07.05.2025</t>
  </si>
  <si>
    <t>Tanvir Ahmad, 7020195132</t>
  </si>
  <si>
    <t>Shaikh Aarif, 9049634473</t>
  </si>
  <si>
    <t>Waqar Ahmad, 8600747414</t>
  </si>
  <si>
    <t>Aasim Shaikh, 7756888354</t>
  </si>
  <si>
    <t>Mohammad Shadab, 7276455758</t>
  </si>
  <si>
    <t>C-32</t>
  </si>
  <si>
    <t>05.05.2025</t>
  </si>
  <si>
    <t>Mohammad Huzaifa, 9764925357</t>
  </si>
  <si>
    <t>C-34</t>
  </si>
  <si>
    <t>Arshad Ahmad Khan, 7774858965</t>
  </si>
  <si>
    <t>C-02</t>
  </si>
  <si>
    <t>03.05.2025 to 09.05.2025</t>
  </si>
  <si>
    <t>07 Days</t>
  </si>
  <si>
    <t>Mudassirullah Khan, 7588846879</t>
  </si>
  <si>
    <t>Shaikh Imran, 9370807917</t>
  </si>
  <si>
    <t>Atiquddin Rahimuddin, 9588428854</t>
  </si>
  <si>
    <t>05.05.2025 to 06.05.2025</t>
  </si>
  <si>
    <t>Shaikh Moiz, 9579849281</t>
  </si>
  <si>
    <t>04.05.2025 to 09.05.2025</t>
  </si>
  <si>
    <t>Syed Danish, 9359309429</t>
  </si>
  <si>
    <t>A-02</t>
  </si>
  <si>
    <t>04.05.2025 to 08.05.2025</t>
  </si>
  <si>
    <t>Shah Mohd Shadab, 8237839979</t>
  </si>
  <si>
    <t>D-08</t>
  </si>
  <si>
    <t>Sajid Khan, 9595505052</t>
  </si>
  <si>
    <t>Shaikh Zaheer, 9011471840</t>
  </si>
  <si>
    <t>Arbaj Khan, 8530590673</t>
  </si>
  <si>
    <t>Sayyed Zubair, 9657903084</t>
  </si>
  <si>
    <t>Shaikh Raheem, 9766823776</t>
  </si>
  <si>
    <t>Abdul Rahman, 8429142484</t>
  </si>
  <si>
    <t>02.05.2025 to 03.05.2025</t>
  </si>
  <si>
    <t>Ayaz Ahmad, 9623934575</t>
  </si>
  <si>
    <t>03.05.2025 to 07.05.2025</t>
  </si>
  <si>
    <t>13.05.2025</t>
  </si>
  <si>
    <t>Sumer Gafar Pathan, Antarwali,Tembhi, Ghansawangi, Dist. Jalna, 7875464589, 9561625911,8080192276</t>
  </si>
  <si>
    <t>Imran Faruk Patel, 9373966993</t>
  </si>
  <si>
    <t>Police Bhartii</t>
  </si>
  <si>
    <t>14.05.2025 to 14.06.2025</t>
  </si>
  <si>
    <t>14.05.2025</t>
  </si>
  <si>
    <t xml:space="preserve">Mohammad Zabihullah Mohammad Hashmatullah Mansoori, Nalasupara west Mumbai, 9209899478, 9819256114 
</t>
  </si>
  <si>
    <t>XII Sci.</t>
  </si>
  <si>
    <t>03.05.2025 to 03.03.2026</t>
  </si>
  <si>
    <t>19.05.2025</t>
  </si>
  <si>
    <t>UPI</t>
  </si>
  <si>
    <t>Dalvi Amit Purushottam, at.Dwarka Nagri, Akola, 8788356746, 9370400442</t>
  </si>
  <si>
    <t>C-03</t>
  </si>
  <si>
    <t>M.Pharm-I</t>
  </si>
  <si>
    <t>01.06.2025 to 01.10.2026</t>
  </si>
  <si>
    <t>Mohammad Maqdoom, 9730130195</t>
  </si>
  <si>
    <t>21.05.2025 to 25.06.2025</t>
  </si>
  <si>
    <t>26.05.2025</t>
  </si>
  <si>
    <t>Mohammad Saif Raza, 9856217786</t>
  </si>
  <si>
    <t>MANU Exam</t>
  </si>
  <si>
    <t>Shaikh Zakaria, 9766830364</t>
  </si>
  <si>
    <t xml:space="preserve">29.05.2025 </t>
  </si>
  <si>
    <t>29.05.2025</t>
  </si>
  <si>
    <t>01 Days</t>
  </si>
  <si>
    <t>Shaikh Mainuddin, 9766090557</t>
  </si>
  <si>
    <t>Exzm</t>
  </si>
  <si>
    <t>29.05.2025 to 05.06.2025</t>
  </si>
  <si>
    <t>Shaikh Mohsin, 8482865493</t>
  </si>
  <si>
    <t>02.06.2025 to 06.06.2025</t>
  </si>
  <si>
    <t>03.06.2025</t>
  </si>
  <si>
    <t>02.06.2025 to 05.06.2025</t>
  </si>
  <si>
    <t>01.06.2025</t>
  </si>
  <si>
    <t>01) Shaikh Yahya, 8408919386       02) Atik Khan</t>
  </si>
  <si>
    <t>Shaikh Iqbal Musa, 7057288076</t>
  </si>
  <si>
    <t>Sayyed Sameer, 9325068406</t>
  </si>
  <si>
    <t>B.ed Exam</t>
  </si>
  <si>
    <t xml:space="preserve">4.06.2025 </t>
  </si>
  <si>
    <t>Shaikh Saber Chand,9689221801</t>
  </si>
  <si>
    <t>05.06.2025</t>
  </si>
  <si>
    <t>11.06.2025 to 11.07.2025</t>
  </si>
  <si>
    <t>12.06.2025</t>
  </si>
  <si>
    <t>Shahrukh Shafik, 8411848580</t>
  </si>
  <si>
    <t>Shaikh Arshan, 9420151565</t>
  </si>
  <si>
    <t>InterShip</t>
  </si>
  <si>
    <t>17.06.2025 to 17.07.2025</t>
  </si>
  <si>
    <t>17.06.2025</t>
  </si>
  <si>
    <t>Mohd Umair, 7350514310</t>
  </si>
  <si>
    <t>C-05</t>
  </si>
  <si>
    <t>24.06.2025 to 24.07.2025</t>
  </si>
  <si>
    <t>27.06.2025</t>
  </si>
  <si>
    <t>Shaikh Musaddiq, 8308734062</t>
  </si>
  <si>
    <t>30.06.2025 to 30.07.2025</t>
  </si>
  <si>
    <t>30.06.2025</t>
  </si>
  <si>
    <t>Ansari Imran,9022250080</t>
  </si>
  <si>
    <t>01.07.2025</t>
  </si>
  <si>
    <t>02.07.2025</t>
  </si>
  <si>
    <t>Waqas Ahad Patel, 8087865971</t>
  </si>
  <si>
    <t>Umair Khan, 9309082060</t>
  </si>
  <si>
    <t>01.07.2025 to 05.07.2025</t>
  </si>
  <si>
    <t xml:space="preserve">Atif Iqbal Mansuri, at chawl No. 01 kalyan Est, 9076510254, 9819476994 </t>
  </si>
  <si>
    <t>B.Com.I</t>
  </si>
  <si>
    <t>23.06.2025 to 23.04.2026</t>
  </si>
  <si>
    <t>23.06.2025</t>
  </si>
  <si>
    <t>08.05.2025 to 08.03.2026</t>
  </si>
  <si>
    <t>20.06.2025</t>
  </si>
  <si>
    <t>Old Student</t>
  </si>
  <si>
    <t>Sarang Vilas Salunke,at. Shangavi Residensy C-08, New Court, Baramati, 9499465146, 7058372405</t>
  </si>
  <si>
    <t>A-25</t>
  </si>
  <si>
    <t>B.Pharm-IV</t>
  </si>
  <si>
    <t>23.04.2025 to 23.02.2026</t>
  </si>
  <si>
    <t>Shaikh Khizar Ali, at Sher ali chowk, Buldhana, 9923504849</t>
  </si>
  <si>
    <t>Xith Sci.</t>
  </si>
  <si>
    <t>05.07.2025 to 05.05.2026</t>
  </si>
  <si>
    <t>14.06.2025</t>
  </si>
  <si>
    <t>Ashish Prbhakar Sathe, at Lonar Dist. Buldhana, 9763784329, 9022504314</t>
  </si>
  <si>
    <t>MSc. Micro.II</t>
  </si>
  <si>
    <t>21.05.2025 to 21.03.2026</t>
  </si>
  <si>
    <t>09.06.2025</t>
  </si>
  <si>
    <t>Shaikh Mudassir Jameel, at. Teachers Colony Paratwada, Achalpur, 7666635832, 9552871992</t>
  </si>
  <si>
    <t>09.06.2025 to 09.04.2026</t>
  </si>
  <si>
    <t>Ansari Uzair Abdullah Masood Akhtar, at.yusuf Colony Old Jalna, 9271594945, 9021313560</t>
  </si>
  <si>
    <t>XI sci</t>
  </si>
  <si>
    <t>B-01</t>
  </si>
  <si>
    <t>XII sci</t>
  </si>
  <si>
    <t>29.04.2025 to 29.02.2026</t>
  </si>
  <si>
    <t>Onkar Haribhau More, at. Bagpimpalgao, Dist. Beed, 8080398092, 8999448434</t>
  </si>
  <si>
    <t>C-10</t>
  </si>
  <si>
    <t>D.Pharm II</t>
  </si>
  <si>
    <t>30.06.20225 to 30.04.2026</t>
  </si>
  <si>
    <t>Kunal Subhash Pardhe, at Shahagad, Jalna, 9420923209,9637579606</t>
  </si>
  <si>
    <t>Ansari yousha Ali Nasir, At. 51 Ansari Manzil    Mehboob Compound RaushanBagh, Bhiwandi, 9021175730</t>
  </si>
  <si>
    <t>A-21</t>
  </si>
  <si>
    <t>M.Pharm II Year</t>
  </si>
  <si>
    <t>01.07.2025 to 01.05.2026</t>
  </si>
  <si>
    <t>28.06.2025</t>
  </si>
  <si>
    <t>Khatib M. Umair Azharuddin, Partur Dist. Jalna, 9309770313</t>
  </si>
  <si>
    <t>Uzair Khan Pathan Aslam Khan, at. Shah Inayat Mohalla Gandhipark Parbhani, 9028974366,9890371395</t>
  </si>
  <si>
    <t>27.06.2025 to 27.04.2026</t>
  </si>
  <si>
    <t>Shaikh Ayan Saeed, at.Meera BK Tq. Chikhali Dist. Buldhana, 9822356244,9225305520</t>
  </si>
  <si>
    <t>28.04.2025 to 28.02.2026</t>
  </si>
  <si>
    <t>Shaikh Naved Shaikh Quasim, at. Tilak Nagar, Chikli Dist.Buldhana, 9595337725</t>
  </si>
  <si>
    <t>B.ed.II</t>
  </si>
  <si>
    <t>19.06.2025 to 19.04.2026</t>
  </si>
  <si>
    <t>19.06.2025</t>
  </si>
  <si>
    <t>Mohammad Sami Shaikh Kaleem, at Zamzam Nagar Dhad Dist. B=Buldhana, 9975948383</t>
  </si>
  <si>
    <t>Neet Class</t>
  </si>
  <si>
    <t>18.06.2025 to 18.04.2026</t>
  </si>
  <si>
    <t>Shaikh Mohammad Kais, at. Taun Holl Jalna, 9370995005, 7822090934</t>
  </si>
  <si>
    <t>16.06.2025 to 16.0.2026</t>
  </si>
  <si>
    <t>16.06.2025</t>
  </si>
  <si>
    <t>07.07.2025</t>
  </si>
  <si>
    <t xml:space="preserve">B.C.S. I </t>
  </si>
  <si>
    <t>Shaikh Asim Wasim, at Shirala post. Kekatpangri. Tq. Geurai, 9011641266, 9561468586</t>
  </si>
  <si>
    <t>05.07.2025</t>
  </si>
  <si>
    <t>Aabu Jilani Pathan, At Jambhai Tq. Sillod, Aurangabad,               8600332868, 9623407569</t>
  </si>
  <si>
    <t>B.A.I</t>
  </si>
  <si>
    <t>02.06.2025 to 02.04.2025</t>
  </si>
  <si>
    <t>Pathan Salman Julani, at. Jambhai Tq. Sillod, 8380028681, 8600332868</t>
  </si>
  <si>
    <t>Xith Arts</t>
  </si>
  <si>
    <t>Bagwan Usaid Yakub, at. Betawad Tal. Sindkheda, Dist. Dhule, 7878741818,9822337735,</t>
  </si>
  <si>
    <t>B-04</t>
  </si>
  <si>
    <t>XII Comm</t>
  </si>
  <si>
    <t>15.04.2025 to 15.02.2026</t>
  </si>
  <si>
    <t>06.07.2025</t>
  </si>
  <si>
    <t>10.07.2025</t>
  </si>
  <si>
    <t>Mohammad Hassan Ziaul Hassan Khan, at 347, Shivangi Nagar, Pilkhuwa, Hapur, U.P.</t>
  </si>
  <si>
    <t>B.Sc. Bio-tech -I</t>
  </si>
  <si>
    <t>06.07.2025 to 06.05.2026</t>
  </si>
  <si>
    <t xml:space="preserve">Shaikh Ayan Shaikh Mukim, at. sanjay Nagar, Deulgaon Raja, Dist. Buldhana, 9373217314, 9595287487 </t>
  </si>
  <si>
    <t>XIIth Sci.</t>
  </si>
  <si>
    <t>09.05.2025 to 09.03.2026</t>
  </si>
  <si>
    <t>Shaikh Sajid Shaikh Taslim, at, Dhamangaon Badhe, Dist. Buldhana, 9511606098, 7385131389</t>
  </si>
  <si>
    <t>A-01</t>
  </si>
  <si>
    <t>B.Sc.I</t>
  </si>
  <si>
    <t>08.07.2025 to 09.05.2026</t>
  </si>
  <si>
    <t>08.07.2025</t>
  </si>
  <si>
    <t>Mohd Wahid Mohd Sadique, at. By pass road rohinkhed Tq. Motala, 8482914403, 9372272981</t>
  </si>
  <si>
    <t>C-06</t>
  </si>
  <si>
    <t>B.Sc. Comp. I</t>
  </si>
  <si>
    <t>Mohd Junaid Mohd Yaqub, at. Near Baradari Masjid Rohinkhed, Tq, Matala, 7219843216, 8805957633</t>
  </si>
  <si>
    <t>09.07.2025 to 10.05.2026</t>
  </si>
  <si>
    <t>09.07.2025</t>
  </si>
  <si>
    <t>Adnan Khan Dayyan Khan, at. Pathan Galli, Deulgao Raja, Buldhana, 8600188461, 8698657861</t>
  </si>
  <si>
    <t>Gore Shubham Uddhav,at. Charthana, Parbhani, 8855959694</t>
  </si>
  <si>
    <t>GPAD</t>
  </si>
  <si>
    <t>09.07.2025 to 10.01.2026</t>
  </si>
  <si>
    <t>06 Month</t>
  </si>
  <si>
    <t>Half Academic year</t>
  </si>
  <si>
    <t>Pathan Arman Bismilla Modha Khurd tq. Sillod dist. Aurangabad 8308135883</t>
  </si>
  <si>
    <t>B.Sc II Year</t>
  </si>
  <si>
    <t>02.06.2025 to 03.04.2026</t>
  </si>
  <si>
    <t>14.07.2025</t>
  </si>
  <si>
    <t>Md. Zafar Md. Ismail, 9420147795</t>
  </si>
  <si>
    <t>A-06</t>
  </si>
  <si>
    <t>05.07.2025 to 06.07.2025</t>
  </si>
  <si>
    <t>Atharv Dattattray Mane, 8805805379</t>
  </si>
  <si>
    <t>C-25</t>
  </si>
  <si>
    <t>B.Pharm</t>
  </si>
  <si>
    <t>04.07.2025 to 07.07.2025</t>
  </si>
  <si>
    <t>B.Sc.</t>
  </si>
  <si>
    <t>08.07.2025 to 08.08.2025</t>
  </si>
  <si>
    <t>Waqas Altaf Patel, 8087865971</t>
  </si>
  <si>
    <t>10.07.2025 to 13.07.2025</t>
  </si>
  <si>
    <t>11.07.2025</t>
  </si>
  <si>
    <t>Ansari Usman, 8446666061</t>
  </si>
  <si>
    <t>Shaikh Nohammad Azfar, 8879328323</t>
  </si>
  <si>
    <t>A-05</t>
  </si>
  <si>
    <t>15.07.2025 to 16.07.2025</t>
  </si>
  <si>
    <t>16.02.2025</t>
  </si>
  <si>
    <t xml:space="preserve">Adnan Shah Asef Shah, 9975663950 </t>
  </si>
  <si>
    <t>D-03</t>
  </si>
  <si>
    <t>Admition</t>
  </si>
  <si>
    <t xml:space="preserve">16.07.2025 </t>
  </si>
  <si>
    <t>17.07.2025</t>
  </si>
  <si>
    <t>Sahil Taiyab Patel. At. Jambai, Sillod, Aurangabad, 9637975122, 9588415524</t>
  </si>
  <si>
    <t>14.07.2025 to 15.05.2026</t>
  </si>
  <si>
    <t>15.07.2025</t>
  </si>
  <si>
    <t>Mohammad Faisal Husain, at.Al Aqsa Colony Dhad, Buldhana 7276269782, 9890592949</t>
  </si>
  <si>
    <t>Sufiyan Khan Sabir Khan, at. Jama Masjid Anjuman Chowk Dhad, Buldhana, 9284938482, 9552119425</t>
  </si>
  <si>
    <t>Shaikh Umar Shaikh Biban, at. Tawakkal Nagar, Dhad, Buldhana, 8421585735, 9579991454</t>
  </si>
  <si>
    <t>Sayyed Isa Mohd Sayyed Moosa, at. Sakhar Kherda, Tq. Sindkhed Raja, Dist. Buldhana, 8329391174, 7875001790</t>
  </si>
  <si>
    <t>B.Sc. II</t>
  </si>
  <si>
    <t>07.06.2025 to 07.04.2026</t>
  </si>
  <si>
    <t>16.07.2025</t>
  </si>
  <si>
    <t>Shaikh Arbaz Bilal, at, Pimpalwadi Tq. Paithan, Dist. Aurangabad, 9881847322, 9881847325</t>
  </si>
  <si>
    <t xml:space="preserve">BBA-III </t>
  </si>
  <si>
    <t>02.05.2025 to 02.03.2026</t>
  </si>
  <si>
    <t>Sahil Siraj Sayyed, at Mapegaon Kurd Partur, 7666657552, 9321990487</t>
  </si>
  <si>
    <t>B.Com I</t>
  </si>
  <si>
    <t>17.07.2025 to 17.05.2026</t>
  </si>
  <si>
    <t>Shaikh Sameer Chand, at. Warud BU Tq. Bhokardan, Dist. Jalna, 8698483415</t>
  </si>
  <si>
    <t>B.Sc. Bio-tech. I</t>
  </si>
  <si>
    <t xml:space="preserve">Mohd Umair Mohd Aqueel, at. Rohinkhed Tq. Motala, Buldhana, 8421335915 </t>
  </si>
  <si>
    <t>19.07.2025 to 19.05.2026</t>
  </si>
  <si>
    <t>19.07.2025</t>
  </si>
  <si>
    <t>Mohammad Muzammil Mazhar, at Amdapur Dist. Buldhana, 8446411038, 9637944010</t>
  </si>
  <si>
    <t>BCA-III</t>
  </si>
  <si>
    <t>Individual Register (M.Pharm I &amp; II Year) for the Academic Year 2025 - 2026 'A' Wing</t>
  </si>
  <si>
    <t>Individual Register (General Students) for the Academic Year 2025 - 2026 'A' Wing</t>
  </si>
  <si>
    <t>Individual Register (General Students) for the  Academic Year 2025 - 2026 'B' Wing</t>
  </si>
  <si>
    <t>Individual Register (D.Pharm) for the  Academic Year 2025 - 2026 'A' Wing</t>
  </si>
  <si>
    <t>Individual Register (D.Pharm) for the Academic Year 2025 - 2026 'B' Wing</t>
  </si>
  <si>
    <t>Individual Register (B.Pharm Ist Year) for the Academic Year 2025 - 2026 'A' Wing</t>
  </si>
  <si>
    <t>Individual Register (B.Pharm Ist Year) for the Academic Year 2025 - 2026 'B' Wing</t>
  </si>
  <si>
    <t>Individual Register (B.Pharm IInd Year) for the Academic Year 2025 - 2026 'A' Wing</t>
  </si>
  <si>
    <t>Individual Register (B.Pharm IIIrd Year) for the Academic Year 2025 - 2026 'A' Wing</t>
  </si>
  <si>
    <t>Individual Register (B.Pharm IIIrd Year) for the Academic Year 2025 - 2026 'B' Wing</t>
  </si>
  <si>
    <t>Individual Register (B.Pharm IVth Year) for the Academic Year 2025 - 2026 'A' Wing</t>
  </si>
  <si>
    <t>Individual Register (B.Pharm IVth Year) for the Academic Year 2025 - 2026 'C' Wing</t>
  </si>
  <si>
    <t>Individual Register (M.Pharm I &amp; II Year) for the Academic Year 2025 - 2026 'B' Wing</t>
  </si>
  <si>
    <t>Individual Register (B.ED I &amp; II Year) for the Academic Year 2025 - 2026 'A' Wing</t>
  </si>
  <si>
    <t>Individual Register (B.ED I &amp; II Year) for the Academic Year 2025 - 2026 'B &amp; C' Wing</t>
  </si>
  <si>
    <t>Individual Register (M.Sc I &amp; II Year) for the Academic Year 2025 - 2026 'A' Wing</t>
  </si>
  <si>
    <t>Individual Register (M.Sc I &amp; II Year) for the Academic Year 2025 - 2026 'B &amp; C' Wing</t>
  </si>
  <si>
    <t xml:space="preserve">Individual Register (Temporary Students) for the Academic Year 2025 - 2026 </t>
  </si>
  <si>
    <t>Summary of New Admission for 2025- 2026 Fees Collection</t>
  </si>
  <si>
    <t>Shaikh Faizan Shaikh Hamid, at. Anturli Tq. Muktainagar, Dist. Jalgaon, 9765146095, 9272938202</t>
  </si>
  <si>
    <t>A-19</t>
  </si>
  <si>
    <t>11.05.2025 to 11.03.2026</t>
  </si>
  <si>
    <t>Shaikh Sameer Mainoddin, At. Usmanpura Colony, Sanja Road Osmanabad, 9922595756, 9767192430</t>
  </si>
  <si>
    <t>A-09</t>
  </si>
  <si>
    <t>13.05.2025 to 13.03.2026</t>
  </si>
  <si>
    <t>Shaikh Afroz Sayeed, at. Chandanzira, Jalna, 9890454350, 9075876345</t>
  </si>
  <si>
    <t xml:space="preserve">c </t>
  </si>
  <si>
    <t>Ikkar Mahadev Baburao Sujata Colony old Pedgaon Road, Dist.Parbhani              8010625321, 8080277913</t>
  </si>
  <si>
    <t>A-27</t>
  </si>
  <si>
    <t>02.07.2025 to 02.05.2026</t>
  </si>
  <si>
    <t>Shivam Dnyaneshwar Rangdal, 227, Shrishal Nagar bhavani peth, Solapur, 8668866179,9834718107</t>
  </si>
  <si>
    <t>Balaji Gangadhar Dewale, At. Chitmogra post (takli) bk Tq. Biloli, Nanaded, 9356895175, 9623880317</t>
  </si>
  <si>
    <t xml:space="preserve">Amer Raju Shaikh, at.Sawangi, Lasur Station, Tq. Gangapur, Aurangabad, 8381027864,9767575055  </t>
  </si>
  <si>
    <t>A-28</t>
  </si>
  <si>
    <t>Shaikh Shoeb Shadul, At. Nagalgaon,Nehrunagar Tq. Kandhar, 8805805379, 7709331693</t>
  </si>
  <si>
    <t>21.07.2025</t>
  </si>
  <si>
    <t>A-32</t>
  </si>
  <si>
    <t>Umer Jahangir Deshmukh, at. Jihar Colony, Sillod, 9096739001, 88055012438</t>
  </si>
  <si>
    <t>Shaikh Muzammil Faisal Umar Teachers colony Paratwada Achalpur Dist. Amravati 9028173992, 9552871992</t>
  </si>
  <si>
    <t>Shaikh Aqib Azeem, at. Fardapur Tq. Soegaon, 772052073</t>
  </si>
  <si>
    <t>A-29</t>
  </si>
  <si>
    <t>B.Pharm-III</t>
  </si>
  <si>
    <t>20.06.2025 to 20.04.2026</t>
  </si>
  <si>
    <t>Alkama Ashokali Shaikh,At. Punatgaon, Po Pachegaon, Newasa, 9049137682</t>
  </si>
  <si>
    <t>Vedant Rajendra Thadkar, at. Sangai Plot, Anjangaon Surji, Dist. Amravati, 7823858959, 9975258501</t>
  </si>
  <si>
    <t>D-09</t>
  </si>
  <si>
    <t>27.04.2025 to 27.02.2026</t>
  </si>
  <si>
    <t>Shaikh Aneesuddin Abdul Rabb                      Jafrabad, Dist.Jalna,                               8149476454</t>
  </si>
  <si>
    <t>Exam Study</t>
  </si>
  <si>
    <t>09.04.2025 to 09.06.2025</t>
  </si>
  <si>
    <t>Abdul Rahman, 9850154578</t>
  </si>
  <si>
    <t>03 Month</t>
  </si>
  <si>
    <t>Shaha Zakir, 8888205877</t>
  </si>
  <si>
    <t>Intership</t>
  </si>
  <si>
    <t>09.05.2025</t>
  </si>
  <si>
    <t>21.06.2025 to 26.06.2025</t>
  </si>
  <si>
    <t>Shaha Mo Iliyas, 9881170746</t>
  </si>
  <si>
    <t>28.07.2025 to 30.07.2025</t>
  </si>
  <si>
    <t>28.07.2025</t>
  </si>
  <si>
    <t>Shaikh Aslam,8484863313</t>
  </si>
  <si>
    <t>Faheem Ahmad Shaikh Raheem, 7709094200</t>
  </si>
  <si>
    <t>C-16</t>
  </si>
  <si>
    <r>
      <t xml:space="preserve">B.ed </t>
    </r>
    <r>
      <rPr>
        <sz val="10"/>
        <rFont val="Times New Roman"/>
        <family val="1"/>
      </rPr>
      <t>Workshop</t>
    </r>
  </si>
  <si>
    <t>28.07.2025 to 01.08.2025</t>
  </si>
  <si>
    <t>Shaikh Abdul Sajeed, 9604324797</t>
  </si>
  <si>
    <t xml:space="preserve">28.07.2025 </t>
  </si>
  <si>
    <t>29.07.2025</t>
  </si>
  <si>
    <t>Shaikh Nmuzammil Kaleem, 7507737851</t>
  </si>
  <si>
    <t>Shaikh Wasim Ahmed, 8888167861</t>
  </si>
  <si>
    <t>Shaikh Kamran , 8999685764</t>
  </si>
  <si>
    <t>Abdul Tauheed, 9960870186</t>
  </si>
  <si>
    <t>03.08.2025 to 04.08.2025</t>
  </si>
  <si>
    <t>08.08.2025</t>
  </si>
  <si>
    <t>Shaikh Mudassir, 7709948509</t>
  </si>
  <si>
    <t>NCC</t>
  </si>
  <si>
    <t xml:space="preserve">03.08.2025 </t>
  </si>
  <si>
    <t>Abdul Sajeed, 8698948651</t>
  </si>
  <si>
    <t>11.08.2025 to 15.08.2025</t>
  </si>
  <si>
    <t>11.08.2025</t>
  </si>
  <si>
    <t>Shaikh Maula, 9823261367</t>
  </si>
  <si>
    <t>31.08.2025 to 30.09.2025</t>
  </si>
  <si>
    <t>22.08.2025</t>
  </si>
  <si>
    <t>Sayyad Tauheed, 9579460411</t>
  </si>
  <si>
    <t>23.08.2025 to 23.12.2025</t>
  </si>
  <si>
    <t>25.08.2025</t>
  </si>
  <si>
    <t>Sayyed Alfaiz, 9764338670</t>
  </si>
  <si>
    <t>26.08.2025 to 26.12.2025</t>
  </si>
  <si>
    <t>26.08.2025</t>
  </si>
  <si>
    <t>Mohammad Musheer, 8421224019</t>
  </si>
  <si>
    <t>28.08.2025 to 30.08.2025</t>
  </si>
  <si>
    <t>28.08.2025</t>
  </si>
  <si>
    <t>Syed Riyazuddin, 9595924627</t>
  </si>
  <si>
    <t>281.08.2025 to 30.08.2025</t>
  </si>
  <si>
    <t>B.B,A.</t>
  </si>
  <si>
    <t>28.08.2025 to 29.08.2025</t>
  </si>
  <si>
    <t>Qazi Sarwar Farooqui, 7020854096</t>
  </si>
  <si>
    <t>27.08.2025 to 29.08.2025</t>
  </si>
  <si>
    <t>Mohammed Eshan Khan, 7588116656</t>
  </si>
  <si>
    <t>29.08.2025</t>
  </si>
  <si>
    <t>Syed Rahim Syed Sadeque, 9370086069</t>
  </si>
  <si>
    <t>Abdul Samad, 9922126616</t>
  </si>
  <si>
    <t>08.09.2025 to 09.09.2025</t>
  </si>
  <si>
    <t>10.09.2025</t>
  </si>
  <si>
    <t>12.09.2025</t>
  </si>
  <si>
    <t>Sayyed Rehan Ali Sayyed Riyaz Ali, At.Amardas Nagar, Risod, Dist,Washim, 9850272281,7057177353</t>
  </si>
  <si>
    <t>D-01</t>
  </si>
  <si>
    <t>11.09.2025</t>
  </si>
  <si>
    <t>Pathan Maheboob Khan     Atmeer colony Darghr Road Dist.Parbhani              9552397069, 8482933593</t>
  </si>
  <si>
    <t>M.Sc. II Zool. HL</t>
  </si>
  <si>
    <t>Shaikh Inamul Jilani, 9309260752</t>
  </si>
  <si>
    <t>17.07.2025 to 17.08.2025</t>
  </si>
  <si>
    <t>Mohammed Sohel Mohd Hanif, at. Bilal Nagar Dongaon, Buldhana, 7385604253</t>
  </si>
  <si>
    <t>B.ed      I      Year</t>
  </si>
  <si>
    <t>B.ed      II      Year</t>
  </si>
  <si>
    <t>11.07.2025 to 11.05.2026</t>
  </si>
  <si>
    <t>Shaikh Zeeshan Shaikh Naser, at. Walti, Tq. Chikhli Dist. Buldhana, 9960605816, 8459981921</t>
  </si>
  <si>
    <t>18.08.2025 to 18.06.2026</t>
  </si>
  <si>
    <t>18.08.2025</t>
  </si>
  <si>
    <t>Abdul Rahman Shaikh Mohammed, at. Indra Nagar, Dongaon, Tq. Mehkar Dist. Buldhana, 9850154578, 9763422576</t>
  </si>
  <si>
    <t xml:space="preserve">Shaikh Sabir Shaikh Rauf, at. Laxmi Nagar,Dongaon, Tq. Mehkar Dist. Buldhana, 7219898104, </t>
  </si>
  <si>
    <t>23.08.2025 to 23.06.2026</t>
  </si>
  <si>
    <t>23.08.2025</t>
  </si>
  <si>
    <t>Ansari Abdul Musaddique, At. Hayat Colony , Pathri, Dist Parbhani, 7387064544</t>
  </si>
  <si>
    <t>21.07.2025 to 21.05.2026</t>
  </si>
  <si>
    <t>04.09.2025</t>
  </si>
  <si>
    <t>B.ed     I Year</t>
  </si>
  <si>
    <t>B.ed     II Year</t>
  </si>
  <si>
    <t>11.08.2025 to 12.06.2026</t>
  </si>
  <si>
    <t>06.09.2025</t>
  </si>
  <si>
    <t>Sk Umar Farque Sk Bismillah, At. Mukhtar Colony, Dhamangaon, Tq. Buldhana, 8975471370, 9075975397</t>
  </si>
  <si>
    <t>Faroqui Mohammed Aaquib Fahimoddin, at Malikpura Parli Vaijnath, Dist. Beed, 7219202520, 9730115191</t>
  </si>
  <si>
    <t>C-33</t>
  </si>
  <si>
    <t>07.09.2025 to 07.07.2026</t>
  </si>
  <si>
    <t>07.09.2025</t>
  </si>
  <si>
    <t>Rehan Khan Talib Khan , at Lakhanwada Tq. Khamgaon, 8080163470, 9860054700</t>
  </si>
  <si>
    <t>08.09.2025 to 08.07.2025</t>
  </si>
  <si>
    <t>08.09.2025</t>
  </si>
  <si>
    <t>Shaikh Sameer Shaikh Shaukat, at Amardas Nagar, Risod Dist. Washim, 9325901826, 9527307796</t>
  </si>
  <si>
    <t>11.09.2025 to 11.07.2026</t>
  </si>
  <si>
    <t>Shaikh Mohammad Zaid Mohammad Zulfekhar, at Nitin Nagar Kannad, 9975634758, 9271212233</t>
  </si>
  <si>
    <t>15.09.2025 to 15.07.2026</t>
  </si>
  <si>
    <t>15.09.2025</t>
  </si>
  <si>
    <t>Mohammad Abdul Raheman Mohammad Ateeque, Rahim Nagar Parbhani, 9028066310, 8329733882</t>
  </si>
  <si>
    <t>B.Pharm. II</t>
  </si>
  <si>
    <t>24.08.2025 to 24.06.2026</t>
  </si>
  <si>
    <t>Old Sudent</t>
  </si>
  <si>
    <t>Fazal Yusuf Patel, at Hno33 Gendalal Mill Jalgaon, 9158415525, 9028440286</t>
  </si>
  <si>
    <t>02.09.2025 to 02.07.2026</t>
  </si>
  <si>
    <t>03.09.2025</t>
  </si>
  <si>
    <t>Pritam Dhondiba Bhalerao, Siddharth Nagar, Taroda(BK), Nanded, 9284794287,</t>
  </si>
  <si>
    <t>A-24</t>
  </si>
  <si>
    <t>09.09.2025</t>
  </si>
  <si>
    <t>Momin Md Taha Md Yusuf , At .Momin Mohalla Walur, Parbhani, 7796520168,9890255186</t>
  </si>
  <si>
    <t>22.08.2025 to 22.06.2026</t>
  </si>
  <si>
    <t>Faiz Shaikh Anis Pinjari, Aditya Nagar Patna Devi Road, Chalisgaon, Dist. Jalgaon, 8605188509, 9921188257</t>
  </si>
  <si>
    <t>A-23</t>
  </si>
  <si>
    <t>Mohatsin Hasnain Yunus Shaikh At.post Ranjani, Tq. Ghansawangi, 9172158388</t>
  </si>
  <si>
    <t>B-05</t>
  </si>
  <si>
    <t>B.Phaarm III Year</t>
  </si>
  <si>
    <t>02.06.2025 to 02.04.2026</t>
  </si>
  <si>
    <t>Amaan Firoz Shaikh        At.Jomala  Bhokardan Dist. Jalna 9423454588, 9767931234</t>
  </si>
  <si>
    <t>12.08.2025</t>
  </si>
  <si>
    <t>Umer Nasir Deshmukh, At. Dhangar wada Yawal, Dist. Jalgaon, 9049289286</t>
  </si>
  <si>
    <t>A-08</t>
  </si>
  <si>
    <t xml:space="preserve">02.07.2025 to 02.05.2026 </t>
  </si>
  <si>
    <t>21.08.2025</t>
  </si>
  <si>
    <t>Ritesh Vilasrao Deshmukh, At. Ayodhya Nagar, Hadgaon, Nanded, 9689050951,8237198571</t>
  </si>
  <si>
    <t>Sufiyan Rasul Shaikh, At. Post. Jahur Tq. Mukhed, 7775091710,9730690799</t>
  </si>
  <si>
    <t>Momin Mohammad Fuzail, at.Janta Near Nagar,AnsarSizing, Malegaon, 7499131255, 9158489636</t>
  </si>
  <si>
    <t>06.05.2025 to 06.03.2026</t>
  </si>
  <si>
    <t>Rudra Rajendranat meshram At. Ta. Nagbhir Kachar Mohalla   Dist. Chandrapur                8275020737, 9421813160</t>
  </si>
  <si>
    <t xml:space="preserve">B.Pharm IV </t>
  </si>
  <si>
    <t>06.08.2025</t>
  </si>
  <si>
    <t xml:space="preserve">Shaikh Ajim Salauddin At. Salabatpur tq. Newasa            Dist. Ahmednagar, 7875745008,  7249390320 </t>
  </si>
  <si>
    <t>02.08.2025 to 02.06.2026</t>
  </si>
  <si>
    <t>07.08.2025</t>
  </si>
  <si>
    <t>Ansari Zubair Ahmed, At. Chandol, Buldhana, 9890067354, 7757868260</t>
  </si>
  <si>
    <t>26.07.2025 to 26.05.2026</t>
  </si>
  <si>
    <t>14.08.2025</t>
  </si>
  <si>
    <t>Bhushan Ramkrushna Patil, At Post. Talnji, Tq Mantha Dist. Jalna, 7776040931</t>
  </si>
  <si>
    <t>Qureshi Ajaz Moin, At. Kalamnoori Dist. Hingoli, 9665819550</t>
  </si>
  <si>
    <t>C-23</t>
  </si>
  <si>
    <t>Mohd Arfat L. Shivani, At. Habib Nagar Paratwada, Achalpur, dist Amrawati, 9822020782</t>
  </si>
  <si>
    <t>25.06.2025 to 25.04.2026</t>
  </si>
  <si>
    <t>Qureshi Sarfaraz Nazem, Barkat Nagar, Parli vijnath,  Dist. Beed    7796695571,7775897313</t>
  </si>
  <si>
    <t>A-34</t>
  </si>
  <si>
    <t>Shaikh Muaaz Ahmed Shaikh Masood Ahmed, At. Zum Zum Colony, Beed, 9421946494, 9284711071</t>
  </si>
  <si>
    <t>A-22</t>
  </si>
  <si>
    <t>05.09.2025 to 05.07.2026</t>
  </si>
  <si>
    <t>17.09.2025</t>
  </si>
  <si>
    <t>MD. Mujib MD. Mushir, at. Amlapur, Tq. Chikhli, Buldhana, 7721933584, 9834908019</t>
  </si>
  <si>
    <t>XI th Sci.</t>
  </si>
  <si>
    <t>23.07.2025 to 23.05.2026</t>
  </si>
  <si>
    <t>23.07.2025</t>
  </si>
  <si>
    <t>Mohammed Saad Javed Ansari, at. Fazalpura, Aurangabad, 9975372664, 9923339333</t>
  </si>
  <si>
    <t>24.07.2025</t>
  </si>
  <si>
    <t>Nadimsha Ibrahimsha Bhandare, At. Kabeer Nagar Jawkheda Tq. Bhokardan, 7821893463,9158408005</t>
  </si>
  <si>
    <t>BCS-III</t>
  </si>
  <si>
    <t>08.06.2025 to 08.04.2026</t>
  </si>
  <si>
    <t>Shaikh Arman Shaikh Karim, at. Amdapur, Buldhana, 7767096576, 9881384894</t>
  </si>
  <si>
    <t>26.07.2025</t>
  </si>
  <si>
    <t>Pathan Abuzar Khan Ayaz Khan, At. Kanhaiya Nagar Jalna, 9765976833,9421318948</t>
  </si>
  <si>
    <t>D-Pharm II</t>
  </si>
  <si>
    <t>14.09.2025 to 14.07.2026</t>
  </si>
  <si>
    <t>18.09.2025</t>
  </si>
  <si>
    <t>Shekh Faran Shekh Javed, at. Nai Nagar, Lonar Buldhana, 9834535064, 9420700785</t>
  </si>
  <si>
    <t>BCS- I</t>
  </si>
  <si>
    <t>28.07.2025 to 28.05.2026</t>
  </si>
  <si>
    <t>Shahid Saber Shaikh, At. Bazar Sawangi, Tq. Khultabad, 9823898905, 9422774321</t>
  </si>
  <si>
    <t>C-01</t>
  </si>
  <si>
    <t>BCS II</t>
  </si>
  <si>
    <t>27.07.2025 to 27.05.2026</t>
  </si>
  <si>
    <t>Shoaib Karim Shah, at Jatwada Road Harsul, Aurangabad, 7796248492, 9545316926</t>
  </si>
  <si>
    <t xml:space="preserve">BCS-II </t>
  </si>
  <si>
    <t>23.04.2025 to 22.02.2026</t>
  </si>
  <si>
    <t>Saif ul umar Mohd Shakeel, at. Rohinkhed, Tq. Motala, Dist. Buldhana, 7666857861,8600452699</t>
  </si>
  <si>
    <t>BCA-II</t>
  </si>
  <si>
    <t>01.06.2025 to 01.04.2026</t>
  </si>
  <si>
    <t>30.07.2025</t>
  </si>
  <si>
    <t>Shaikh Musab Izharuddin, at. Jama Masjid, Neknur, Dist. Beed, 7559131884, 9881022002</t>
  </si>
  <si>
    <t>04.08.2025 to 04.06.2026</t>
  </si>
  <si>
    <t>04.08.2025</t>
  </si>
  <si>
    <t>Shaikh Aafak Shaikh Sameer,at.Hazrat Shah Bhikan Marg, Burhanpur(MP), 9993143011</t>
  </si>
  <si>
    <t>07.08.2025 to 07.05.2026</t>
  </si>
  <si>
    <t>Khan Sohel Ahmed Iqbal, at Malik Pura, Tq. Parli V. Dist. Beed, 9309493334,9860337498</t>
  </si>
  <si>
    <t xml:space="preserve">BCA III </t>
  </si>
  <si>
    <t>10.05.2025 to 09.03.2026</t>
  </si>
  <si>
    <t>Abdul Hadi Mohd Tasleem, At Rohtankhed, Buldhana,         8421406921, 9096903895</t>
  </si>
  <si>
    <t>02.04.2025 to 02.02.2026</t>
  </si>
  <si>
    <t>Mohd Zahed Mohd Nazeer, At Rohinkhed Buldhana,             9021707713, 9604177780</t>
  </si>
  <si>
    <t>Mohd Akmal Mohd Yaqub, At. Abdul Raheman Colony, Rohinkhed Tq. Motala</t>
  </si>
  <si>
    <t>18.19.2025</t>
  </si>
  <si>
    <t>Mohd Saad Mohd Mustafa, At. Abdul Raheman Colony, rohinkhed, Dist. Buldhana</t>
  </si>
  <si>
    <t>Anwar Saeed Shah, at Nachanwel Tq. Kannad, Dist. Aurangabad, 9552404313, 9975660523</t>
  </si>
  <si>
    <t>B.C.S.-II</t>
  </si>
  <si>
    <t>13.08.2025</t>
  </si>
  <si>
    <t>14.08.2025 to 14.06.2026</t>
  </si>
  <si>
    <t>Zaid Majhar Shaikh, at. Musafirshah Mohalla,Basmat, Hingoli, 9881912286, 9823792286</t>
  </si>
  <si>
    <t>Aftab Hamid Sayyed, At. Mu.Malvira Po Khandvi Tq. Georai Dist Beed, 8/055280086 ,9881992005</t>
  </si>
  <si>
    <t>BCS III</t>
  </si>
  <si>
    <t>Khaled Riyaj Shaikh, at.pirsawangi, Shelgaon, Tq, Badnapur, 8668836373</t>
  </si>
  <si>
    <t>B-06</t>
  </si>
  <si>
    <t>XII th Sci.</t>
  </si>
  <si>
    <t>13.09.2025</t>
  </si>
  <si>
    <t>Ansari Shahnawaz Firoz, at. Chkni Ward no.02 Bhitha Bazar, Tharna, 6209938650, 7563874541</t>
  </si>
  <si>
    <t>XII th Comm.</t>
  </si>
  <si>
    <t>Abdul Hakam Siddiqui, at. Plot. No. 6, Dhar Road, Mumtaz Nagar, Parbhani, 9021810132, 9421557406</t>
  </si>
  <si>
    <t>Evrest B.E. Ist</t>
  </si>
  <si>
    <t>15.08.2025</t>
  </si>
  <si>
    <t>17.09.2025 to 17.07.2026</t>
  </si>
  <si>
    <t>Pathan Abubakar Kha Gaus Kha, at. Kunjkheda, Kannad, 8830737773,9420812816</t>
  </si>
  <si>
    <t>A-16</t>
  </si>
  <si>
    <t>B.Sc. Biotech II</t>
  </si>
  <si>
    <t>Abdul Rahman Mohammad Muzamil, at Rohinkhrd Tq. Motala. Dist Buldhana, 7249097160, 7088596239</t>
  </si>
  <si>
    <t>B.Sc. Bio-Tech-II</t>
  </si>
  <si>
    <t>27.05.2025 to 27.03.2026</t>
  </si>
  <si>
    <t>19.08.2025</t>
  </si>
  <si>
    <t>Rehan Rafik Shaikh, at Jafrabad, Jalna, 9922149272, 8698585015</t>
  </si>
  <si>
    <t>Jahed Jabbar Pathan, at. Lasur Station, Tq. Gangapur,Aurangabad, 8446686786, 9860462043</t>
  </si>
  <si>
    <t>19.08.2025 to 19.06.2026</t>
  </si>
  <si>
    <t>B.tech. Civil Ist</t>
  </si>
  <si>
    <t>Sayyed Yasir Nazir, at. Undangaon Tq. Sillod. Aurangabad, 9552942772, 9763862772</t>
  </si>
  <si>
    <t>Izan Abdullh Shaikh, at. Diwanshah Dargah,Bhiwandi,Dist.Thane, 9689951647, 9890544070</t>
  </si>
  <si>
    <t>XIth Sci.</t>
  </si>
  <si>
    <t>14.05.2025 to 14.03.2026</t>
  </si>
  <si>
    <t>Siddiqui Rudar Mubashshir, At .Sneh Nagar, Sillod, 7385287708, 9422717244</t>
  </si>
  <si>
    <t>A-35</t>
  </si>
  <si>
    <t>29.06.2025 to 29.04.2026</t>
  </si>
  <si>
    <t>25.08.2025 to 25.06.2026</t>
  </si>
  <si>
    <t>Pathan Uzair Khan Nazeer Khan, at jafrabad,jalna, 9067936215, 9028964655</t>
  </si>
  <si>
    <t>Rohit  Ashok Bhagure, at. Dhamangaon, Tq. Phulambri, 7371902447, 9209442292</t>
  </si>
  <si>
    <t>C-12</t>
  </si>
  <si>
    <t>XI th Arts</t>
  </si>
  <si>
    <t>25.08.2025 to 25.06.2025</t>
  </si>
  <si>
    <t>Kiran Sandip Vahul. At. Dhanangaon, Tq. Phulambri, 7823016146, 9657921417</t>
  </si>
  <si>
    <t>Pathan Aazam Khan Altaf Khan, At. Jama masjid Shivna, Sillod,    9689122483, 9860768389</t>
  </si>
  <si>
    <t>02.05.2025 to 01.03.2026</t>
  </si>
  <si>
    <t>Patil Kunal Jibhau Shriram       101 Nirman Shrusti Apt Uarse Raha Raigarh  7276883819, 9420810236</t>
  </si>
  <si>
    <t>D-06</t>
  </si>
  <si>
    <t xml:space="preserve">B.Pharm III </t>
  </si>
  <si>
    <t>19.09.2025</t>
  </si>
  <si>
    <t xml:space="preserve">Shaikh Abdul Raheman Mainoddin At. Post Chondi Tq. Mukhed Dist. Nanded, 9923500292 </t>
  </si>
  <si>
    <t>M.Lib</t>
  </si>
  <si>
    <t>Tarique Ahmead Abdul Rasheed,          At. Rohinkhed, Buldhana,      9011437098, 7387519425</t>
  </si>
  <si>
    <t>BCA,III</t>
  </si>
  <si>
    <t>15.06.2025 to 15.04.2026</t>
  </si>
  <si>
    <t>02.09.2025</t>
  </si>
  <si>
    <t>Sayyad Sohil rashid, at. Shevta, Tq. Ghansavangi, Jalna, 8788719654, 8605260492</t>
  </si>
  <si>
    <t>B.Sc. II Devgiri</t>
  </si>
  <si>
    <t>Shaikh Sameer Sk. Zameer, at. Udapur Nagar, Ansing Dist. Washim, 9309767543, 9922849934</t>
  </si>
  <si>
    <t>B.Sc. Math Ist</t>
  </si>
  <si>
    <t>03.09.2025 to 03.07.2026</t>
  </si>
  <si>
    <t>Faizan gayur Sayyad, at. Asola Tq. Kalamnuri Dist. Hingoli, 9130080854, 8007525224</t>
  </si>
  <si>
    <t>Noman Asefoddin ambekar, at. Sadat Mahalla, Paithan, 7020860233, 9860436296</t>
  </si>
  <si>
    <t>BCS. III</t>
  </si>
  <si>
    <t>10.09.2025 to 10.05.2026</t>
  </si>
  <si>
    <t>08 Month</t>
  </si>
  <si>
    <t>stay</t>
  </si>
  <si>
    <t>Abujar Ibrahim Shaha, at. Nachanwel tq Kannad, 9657849348</t>
  </si>
  <si>
    <t>C- 20</t>
  </si>
  <si>
    <t>MCA Ist Rajshiri Ist.</t>
  </si>
  <si>
    <t>Syed Abdul Wase, At. Near Jama Masjid Malipura, Old Jalna, Jalna, 7410533224,9021116444</t>
  </si>
  <si>
    <t>D-04</t>
  </si>
  <si>
    <t>B.Tech-II</t>
  </si>
  <si>
    <t>Siddiqui Inamul Haque, At. B72 Yosuf Colony Parbhani, 7841018747,9422179400</t>
  </si>
  <si>
    <t>A-04</t>
  </si>
  <si>
    <t>B-Tech-II Evrest</t>
  </si>
  <si>
    <t>Mohammed Adeem Mustafa Yasar, at. Nayapura, Malegaon, 9405119830, 9765830830</t>
  </si>
  <si>
    <t>D-02</t>
  </si>
  <si>
    <t>BCA. Ist</t>
  </si>
  <si>
    <t>12.09.2025 to 12.07.2026</t>
  </si>
  <si>
    <t>Shaikh Arbaj Habib, at Biloli, Nanded, 7249630468</t>
  </si>
  <si>
    <t>M.Sc.</t>
  </si>
  <si>
    <t>Gazi Habib Tareq Aljilani, at. Arab Galli Tq. Jafrabad, Jalna, 9421336985, 9921691818</t>
  </si>
  <si>
    <t>BBA. Ist</t>
  </si>
  <si>
    <t>15.09.2025 to 15.07.2025</t>
  </si>
  <si>
    <t>13.09.2025 to 13.03.2026</t>
  </si>
  <si>
    <t>M.ed      I      D.S.R.</t>
  </si>
  <si>
    <t>Mirza  Maaz Baig Khalil Mominpura Washim road Pusad dist.Yavatmal.             7498237352,8623992704</t>
  </si>
  <si>
    <t>Momin Kashif Malik, at. P.No. 05, Ansar Colony, Malegaon, 8446994680, 9226730902</t>
  </si>
  <si>
    <t>16.09.2025 to 16.07.2026</t>
  </si>
  <si>
    <t>16.09.2025</t>
  </si>
  <si>
    <t>Aman Hasan Shaikh, at. Pimpalwadi Tq. Paithan, 9172374134, 9766692053</t>
  </si>
  <si>
    <t>Farzan Majeed Syed, at. Near Urja office, Peth mohalla, Parli, 9325077717, 9881475704</t>
  </si>
  <si>
    <t>B-tech. Ist Hi-tech engin.</t>
  </si>
  <si>
    <t>Shaikh Irfan Azam, at. Kesrali, Biloli, Nanded, 9145778115</t>
  </si>
  <si>
    <t>18.09.2025 to 18.03.2025</t>
  </si>
  <si>
    <t>BCA. II nd</t>
  </si>
  <si>
    <t>Adnan Ahemad Irshad Ahemad At. Kalal ki chawal Momon pura, Akola 9823269728</t>
  </si>
  <si>
    <t>A-26</t>
  </si>
  <si>
    <t>23.09.2025</t>
  </si>
  <si>
    <t>Altaf Amin Shaikh, At. Takali R.R., Lamangaon, Aurangabad,9511880968</t>
  </si>
  <si>
    <t>24.09.2025</t>
  </si>
  <si>
    <t>Syed Mujtaba Syed Younus, At. Mullah Masjid Gandhi Park, Parbhani,9766634222, 8055685568</t>
  </si>
  <si>
    <t>17.08.2025 to 17.06.2026</t>
  </si>
  <si>
    <t>Momin Umar Faroque Abdul Aleem, at. Mominpura, Beed, 9545786201,9423470240</t>
  </si>
  <si>
    <t>22.09.2025 to 22.07.2026</t>
  </si>
  <si>
    <t>Mirza Irfan Baig Rahim Baig, at. Bhim Nagar,Kalamnuri, Dist. Hingoli, 9834498938, 9420966116</t>
  </si>
  <si>
    <t>22.09.2025 to 21.07.2026</t>
  </si>
  <si>
    <t>26.09.2025</t>
  </si>
  <si>
    <t>Naik Muhammad Rehan MD Tanvir Ahmad, at. Naikwadi Mohalla, Kalamnuri, Dist. Hingoli, 9322909763, 9881273394</t>
  </si>
  <si>
    <t>23.09.2025 to 23.07.2026</t>
  </si>
  <si>
    <t>Khursan Ayan Ahmad, At.Sadafule Vasti, Jamkhed, Dist. Ahemad Nagar, 9764785882,7888159656</t>
  </si>
  <si>
    <t>27.09.2025</t>
  </si>
  <si>
    <t>Patel Sahil Taleb, At. Sambhaji Nagar Pachora, Jalgaon, 7410545646, 9270497687</t>
  </si>
  <si>
    <t>A-14</t>
  </si>
  <si>
    <t>25.09.2025</t>
  </si>
  <si>
    <t>Sayyed Farhan Sayyed Bhshir, At. Undangaon, Tq. Sillod.Dist. Aurangabad., 9579398103, 9921389617</t>
  </si>
  <si>
    <t>20.09.2025</t>
  </si>
  <si>
    <t>Shaikh Muzammil Baba   Siddarth Nager Ambajogai, Beed, 9552609917, 8446599689</t>
  </si>
  <si>
    <t>A-20</t>
  </si>
  <si>
    <t>17.08.2025 to 16.06.2026</t>
  </si>
  <si>
    <t>22.09.2025</t>
  </si>
  <si>
    <t>Shaikh Imran Masood, at. Bilal Nagar, Sillod, 7841843834, 9421447034</t>
  </si>
  <si>
    <t>B.B.A. I</t>
  </si>
  <si>
    <t>Shaikh Fardin Feroj, at. Hadolti Tq. Ahmdpur Dist. Latur, 9209865756, 8830235262</t>
  </si>
  <si>
    <t>B.C.A. I</t>
  </si>
  <si>
    <t>24.09.2025 to 24.07.2026</t>
  </si>
  <si>
    <t>Zishan Patel Rafique Patel, at. Moti Chowk, Amdapur, Buldhana, 7028788370, 7888193142</t>
  </si>
  <si>
    <t>21.09.2025</t>
  </si>
  <si>
    <r>
      <t>XII</t>
    </r>
    <r>
      <rPr>
        <sz val="10"/>
        <color rgb="FFFF0000"/>
        <rFont val="Times New Roman"/>
        <family val="1"/>
      </rPr>
      <t>th</t>
    </r>
    <r>
      <rPr>
        <sz val="11"/>
        <color rgb="FFFF0000"/>
        <rFont val="Times New Roman"/>
        <family val="1"/>
      </rPr>
      <t xml:space="preserve"> Sci.</t>
    </r>
  </si>
  <si>
    <t>Mohammad Farhan Ahemad,Abdul Razzaque, at Arman Colony, eulgaon Raja, Dist. Buldhana, 9405778487,9595187487</t>
  </si>
  <si>
    <t>M.A. Eng II. MAC</t>
  </si>
  <si>
    <t>20.08.2025</t>
  </si>
  <si>
    <t>03.10.2025</t>
  </si>
  <si>
    <t>Gaikwad Sajjan Hanmant, at. Danora, Tq. Naigaon Nanded, 989073617</t>
  </si>
  <si>
    <t>A-11</t>
  </si>
  <si>
    <t>26.09.2025 to 26.07.2026</t>
  </si>
  <si>
    <t>30.09.2025</t>
  </si>
  <si>
    <t xml:space="preserve">Shaikh Moin Adam Namdarbhai At. Post. Ghogargaon               Tq. Shrigonda Dist. Ahmednagar 9623395075, 9405830236 </t>
  </si>
  <si>
    <t>02.09.2025 to 01.07.2026</t>
  </si>
  <si>
    <t>Mohammed Samee Mohammed Rafique, At. Tipu Sultan Road Bhai galli, Parbhani,  7757092770, 9860049867</t>
  </si>
  <si>
    <t>17.09.2025 to 17.097.2026</t>
  </si>
  <si>
    <t>01.10.2025</t>
  </si>
  <si>
    <t>Aman Ansar Sayed, at. Ghatnandra Tq. Sillod, 8956727224, 9730747438</t>
  </si>
  <si>
    <t>B.C.A. II</t>
  </si>
  <si>
    <t>03.10.2025 to 03.08.2026</t>
  </si>
  <si>
    <t>Sayyed Musaib Ayyub, at. Aakhirat nagar, Srirampur,Tq. Pusad, 87678121397, 9370377237</t>
  </si>
  <si>
    <t>Mohammad Saad Shaikh Sajid, at. Qureshi Mohalla, Iqbal Chowk, Buldhana, 7350752429, 8875070178</t>
  </si>
  <si>
    <t>04.10.2025</t>
  </si>
  <si>
    <t>04.10.2025 to 04.08.2026</t>
  </si>
  <si>
    <t>Admission cancelled</t>
  </si>
  <si>
    <t>Shaikh Adnan shaikh Yusuf, at. Bajarpura Amdapue, Dist. Buldha, 7249093251, 7218167353</t>
  </si>
  <si>
    <t>Muhib Ahmad Shaikh Mustafa, Saudagar Colony, Mahur Dist. Nanded, 9168437460, 7798486560</t>
  </si>
  <si>
    <t>01.10.2025 to 01.03.2026</t>
  </si>
  <si>
    <t>06.10.2025</t>
  </si>
  <si>
    <t>Atta Jawwad Riyaz Bagwan, at. Bismilla Nagar Pachora, Dist. Jalgaon, 9767697778,8010089734</t>
  </si>
  <si>
    <t xml:space="preserve">BBA-I </t>
  </si>
  <si>
    <t>01.10.2025 to 01.08.2026</t>
  </si>
  <si>
    <t>Khan Sameer Mohammad Shafat At. Near Railway Filter House Tapti Road Bhusawal, 9021542060</t>
  </si>
  <si>
    <t>Suraj Gunvant Kokare, at. Pusda, Amravati, 9921350863, 7350184413</t>
  </si>
  <si>
    <t>Mohammad Adnan Danish, at. Khaja Colony, Sai Nagar, Nanded, 8983555990, 7020439752</t>
  </si>
  <si>
    <t>22.09.2025 to 22.07.2025</t>
  </si>
  <si>
    <t>07.10.2025</t>
  </si>
  <si>
    <t>Mudassir Khan, at Tilak nagar Chikhali, 8483898054</t>
  </si>
  <si>
    <t>14.09.2025 to 16.03.2025</t>
  </si>
  <si>
    <t>Abdul Juned Abdul Qudus, 78888007409</t>
  </si>
  <si>
    <t>15.09.2025 to 16.03.2025</t>
  </si>
  <si>
    <t>Shadab Ali Khan, 9307228713</t>
  </si>
  <si>
    <t>BBA III Exam</t>
  </si>
  <si>
    <t>06.10.2025 to 08.10.2025</t>
  </si>
  <si>
    <t>08.10.2025</t>
  </si>
  <si>
    <t>Shekh Maula Aminsab At. Post. Ravangoan tq. Mukhed dist. Nanded 9823261367</t>
  </si>
  <si>
    <t>M.ed I BAMU</t>
  </si>
  <si>
    <t>09.10.2025 to 09.08.2026</t>
  </si>
  <si>
    <t>09.10.2025</t>
  </si>
  <si>
    <t>MD. Aref Iqbal Siddiqui MD. Aamer Iqbal Siddiqui, at. Gulshanabagh Super Market Road, Parbhani, 9623132866, 8421461497</t>
  </si>
  <si>
    <t>A-10</t>
  </si>
  <si>
    <t>08.10.2025 to 08.08.2026</t>
  </si>
  <si>
    <t>Mohammad Haris Ansari Abdul Rashid Ansari, at. Dargah Road, Parbhani, 8788711744, 8421461497</t>
  </si>
  <si>
    <t>Sahil Abdul Raheman Inamdar, at. Ambavane Tq. Velha, Pune, 8177874563, 7030081967</t>
  </si>
  <si>
    <t>B-Pharm II</t>
  </si>
  <si>
    <t>22.07.2025</t>
  </si>
  <si>
    <t>on 28.06.2025</t>
  </si>
  <si>
    <t>Shoeb Akhtar Khuda Rahim Khan, at. Gulmohar Colony, balur road Selu, Parbhani, 9022221995, 8888151808</t>
  </si>
  <si>
    <t>B.Pharm-I</t>
  </si>
  <si>
    <t>10.10.2025</t>
  </si>
  <si>
    <t>Darshandip Gangadhar Pundge, at. Ambedkar Nagar, Hingoli, 7499757850, 7208652622</t>
  </si>
  <si>
    <t>Ansari Sufiyan Abdul Rahim, At Akhada Mohalla, Pathri,Parbhani, 7559180084</t>
  </si>
  <si>
    <t>C-14</t>
  </si>
  <si>
    <t>17.09.2025 to 17.03.2026</t>
  </si>
  <si>
    <t>11.10.2025</t>
  </si>
  <si>
    <t>Mohammed Shakeeb Mohammed Sharfuddin, at Yousuf Colony. Parbhani, 9172976015, 7447661606</t>
  </si>
  <si>
    <t>Mohammed Faizan Abdul Wajed, at Madina Bakery Yousuf Colony, Parbhani, 7028922084,9421385786</t>
  </si>
  <si>
    <t>A-31</t>
  </si>
  <si>
    <t>17.10.2025</t>
  </si>
  <si>
    <t>18.10.2025 to 18.08.2026</t>
  </si>
  <si>
    <t>B.tech. Civil Iind</t>
  </si>
  <si>
    <t>18.10.2025</t>
  </si>
  <si>
    <t>Syed Ahetashamoddin Syed Zainulabedin, at khidkipura Pimpalgaon Raja, tq Khamgaon, Buldhana, 7350750068,9145606160</t>
  </si>
  <si>
    <t>A-17</t>
  </si>
  <si>
    <t>01.09.2025 to 01.07.2026</t>
  </si>
  <si>
    <t>13.10.2025</t>
  </si>
  <si>
    <t>Khan Adnan Ejaz Khan, at Barkat nagar, Parli, Beed. 9529267100, 7796368686</t>
  </si>
  <si>
    <t>15.10.2025</t>
  </si>
  <si>
    <t>Mujammilkhan Akramkhan Pathan, at. Pirsavangi, Badnapur, Jalna, 8378050907, 9595959656</t>
  </si>
  <si>
    <t>A-</t>
  </si>
  <si>
    <t>31.10.2025</t>
  </si>
  <si>
    <t>03.11.2025</t>
  </si>
  <si>
    <t>30.10.2025</t>
  </si>
  <si>
    <t>16.10.2025</t>
  </si>
  <si>
    <t>Shaikh Samiyoddin Sharif, at. Bashishwar Chowk, Latur, 85999913777, 9022452263, 9881516152</t>
  </si>
  <si>
    <t>06.11.2025</t>
  </si>
  <si>
    <t>20.07.2025 to 20.05.2026</t>
  </si>
  <si>
    <t>21.04.2025 to 21.07.2025</t>
  </si>
  <si>
    <t xml:space="preserve">Vacated on </t>
  </si>
  <si>
    <t>11.11.2025</t>
  </si>
  <si>
    <t>05 month</t>
  </si>
  <si>
    <t>Quadri Mohammed Rafi, at. Inayat Nagar, Parbhani, 9860654087</t>
  </si>
  <si>
    <t>A-18</t>
  </si>
  <si>
    <t>24.10.2025 to 24.08.2026</t>
  </si>
  <si>
    <t>09.11.2025</t>
  </si>
  <si>
    <t>Shah Atik Shah Latif, at. Dhotra Nandai, Tq. Deolgaon Raja, 9322670751,8552037813</t>
  </si>
  <si>
    <t>19.10.2025 to 19.08.2026</t>
  </si>
  <si>
    <t>A-33</t>
  </si>
  <si>
    <t>Rajput Santosh Gandhising, at. Thalewadi Post Avhana Bhokardan, Dist Jalna, 8010358311, 7507821024</t>
  </si>
  <si>
    <t>25.10.2025 to 25.08.2026</t>
  </si>
  <si>
    <t>Zaheer Baghban Badruddin Baba nagar Shellal Raod Nideban, Udgir Dist. Latur     9130245277</t>
  </si>
  <si>
    <t>MSc. Micro.I</t>
  </si>
  <si>
    <t>11.11.2025 to 11.09.2026</t>
  </si>
  <si>
    <t>Razahashmi Md. Rizwan, at WZ-211 Shakurpur, Delhi-34, 9871631672, 8700822951</t>
  </si>
  <si>
    <t>B.Sc. I.C. I</t>
  </si>
  <si>
    <t>04.11.2025 to 04.09.2025</t>
  </si>
  <si>
    <t>04.11.2025</t>
  </si>
  <si>
    <t>Ansari Md. Imran Md. Jameel, at. Gulzar Nagar, Pathri, Parbhani, 9511958343, 8805425971</t>
  </si>
  <si>
    <t>A-30</t>
  </si>
  <si>
    <t>M.Pharm I Year</t>
  </si>
  <si>
    <t>Khan Rehan Ahmed Khan Nazeer Ahmed, at. Baba Colony Near Ali Masjid, Pathri, Parbhani, 7262954787, 9860598733</t>
  </si>
  <si>
    <t>Samid Abrar Ahemad Khan, at. Gandhi Nagar, Chikhli, Buldhana, 7066091604, 7020691530</t>
  </si>
  <si>
    <t>08.11.2025</t>
  </si>
  <si>
    <t>Khan Ahad Ejazulla Khan, at. Barkat Nagat, Parli, Beed, 9529267100, 7796365686</t>
  </si>
  <si>
    <t>10.11.2025</t>
  </si>
  <si>
    <t>Shaikh Mohammad Zaid Sheru, At. Kamkheda, Dist. Beed, 7028464997</t>
  </si>
  <si>
    <t>09.11.2025 to 09.09.2026</t>
  </si>
  <si>
    <t>Mohd. Usama Siddiqui, at. Haki Colony Dewalgaon Raja, Dist. Buldhana, 8180054260, 9860438925</t>
  </si>
  <si>
    <t>A-07</t>
  </si>
  <si>
    <t>Pathan Rizwan Ayyub Khan, at. Shhinsha Nagar Beed, 9309404540, 8767571781</t>
  </si>
  <si>
    <t>04.11.2025 to 04.09.2026</t>
  </si>
  <si>
    <t>Sayyed Anaid sayyed Yasir, at. Jama Masjid Iqbal Chowk, Buldhana, 8624030503, 9860143672</t>
  </si>
  <si>
    <t>06.11.2025 to 06.09.2026</t>
  </si>
  <si>
    <t>Mohammad Faizan Ahemad Abdul Razzaque, at. Aman Colony, Deulgaon Raja, 9011426755, 9595287487</t>
  </si>
  <si>
    <t>Nahid Javed Shaikh, at. Lasur Station, Tq. Gangapur, 7821852482, 9923011030</t>
  </si>
  <si>
    <t>Rohit Ramesh Adhav, at. Sanmitra Colony, Partur, 9309789724, 7875427754</t>
  </si>
  <si>
    <t>A-15</t>
  </si>
  <si>
    <t>krushna Shantaram Sapkal, at. Near Jama Masjid, Telepura Deulghat, Buldhana, 9860284403</t>
  </si>
  <si>
    <t>Pathan Asef Abed, at. Manzari Haveli, Beed, 8783237273, 8459338682</t>
  </si>
  <si>
    <t>12.11.2025</t>
  </si>
  <si>
    <t>12.11.2025 to 12.09.2026</t>
  </si>
  <si>
    <t>A-12</t>
  </si>
  <si>
    <t>Arshad Khan Babar Khan, at. Shersawar Nagar Old Jalna, 9579959524,9860414784</t>
  </si>
  <si>
    <t>12.10.2025 to 12.08.2025</t>
  </si>
  <si>
    <t>13.11.2025</t>
  </si>
  <si>
    <t>Shaikh Shoaib Sk. Iftekhar, At. Ambajogai, 8698961313</t>
  </si>
  <si>
    <t>02.07.2025 to 02.01.2026</t>
  </si>
  <si>
    <t>14.11.2025</t>
  </si>
  <si>
    <t xml:space="preserve">Noman Afsar Shaikh, at. Kaji Galli, Amba Road, Partur, 9405940147, 9890266884 </t>
  </si>
  <si>
    <t>13.11.2025 to 13.09.2026</t>
  </si>
  <si>
    <t>Ubed bin Saleh Baquttab, At. Bazar Road Usmanpura Jintur, Dist. Parbhani, 9359250219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</si>
</sst>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6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b/>
      <sz val="2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u/>
      <sz val="20"/>
      <color theme="1"/>
      <name val="Times New Roman"/>
      <family val="1"/>
    </font>
    <font>
      <sz val="20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b/>
      <u/>
      <sz val="18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2"/>
      <color rgb="FF00B0F0"/>
      <name val="Times New Roman"/>
      <family val="1"/>
    </font>
    <font>
      <b/>
      <sz val="12"/>
      <color rgb="FF00B0F0"/>
      <name val="Times New Roman"/>
      <family val="1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indexed="10"/>
      <name val="Arial"/>
      <family val="2"/>
    </font>
    <font>
      <b/>
      <u/>
      <sz val="12"/>
      <name val="Arial"/>
      <family val="2"/>
    </font>
    <font>
      <sz val="14"/>
      <name val="Times New Roman"/>
      <family val="1"/>
    </font>
    <font>
      <b/>
      <sz val="16"/>
      <name val="Times New Roman"/>
      <family val="1"/>
    </font>
    <font>
      <b/>
      <sz val="22"/>
      <name val="Times New Roman"/>
      <family val="1"/>
    </font>
    <font>
      <b/>
      <sz val="14"/>
      <name val="Times New Roman"/>
      <family val="1"/>
    </font>
    <font>
      <u/>
      <sz val="20"/>
      <name val="Times New Roman"/>
      <family val="1"/>
    </font>
    <font>
      <b/>
      <sz val="10"/>
      <name val="Times New Roman"/>
      <family val="1"/>
    </font>
    <font>
      <b/>
      <sz val="12"/>
      <name val="Calibri"/>
      <family val="2"/>
      <scheme val="minor"/>
    </font>
    <font>
      <sz val="14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0070C0"/>
      <name val="Times New Roman"/>
      <family val="1"/>
    </font>
    <font>
      <sz val="14"/>
      <color rgb="FF0070C0"/>
      <name val="Times New Roman"/>
      <family val="1"/>
    </font>
    <font>
      <b/>
      <sz val="12"/>
      <color rgb="FF0070C0"/>
      <name val="Calibri"/>
      <family val="2"/>
      <scheme val="minor"/>
    </font>
    <font>
      <b/>
      <sz val="11"/>
      <color rgb="FF0070C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7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6" fillId="0" borderId="9" xfId="0" applyFont="1" applyBorder="1"/>
    <xf numFmtId="0" fontId="6" fillId="0" borderId="1" xfId="0" applyFont="1" applyBorder="1"/>
    <xf numFmtId="14" fontId="6" fillId="0" borderId="1" xfId="0" applyNumberFormat="1" applyFont="1" applyBorder="1"/>
    <xf numFmtId="0" fontId="6" fillId="0" borderId="6" xfId="0" applyFont="1" applyBorder="1"/>
    <xf numFmtId="14" fontId="6" fillId="0" borderId="9" xfId="0" applyNumberFormat="1" applyFont="1" applyBorder="1"/>
    <xf numFmtId="0" fontId="6" fillId="3" borderId="7" xfId="0" applyFont="1" applyFill="1" applyBorder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3" borderId="7" xfId="0" applyFont="1" applyFill="1" applyBorder="1"/>
    <xf numFmtId="0" fontId="6" fillId="4" borderId="9" xfId="0" applyFont="1" applyFill="1" applyBorder="1"/>
    <xf numFmtId="0" fontId="6" fillId="4" borderId="1" xfId="0" applyFont="1" applyFill="1" applyBorder="1"/>
    <xf numFmtId="0" fontId="6" fillId="4" borderId="6" xfId="0" applyFont="1" applyFill="1" applyBorder="1"/>
    <xf numFmtId="14" fontId="6" fillId="4" borderId="1" xfId="0" applyNumberFormat="1" applyFont="1" applyFill="1" applyBorder="1"/>
    <xf numFmtId="0" fontId="10" fillId="0" borderId="0" xfId="0" applyFont="1"/>
    <xf numFmtId="0" fontId="6" fillId="0" borderId="4" xfId="0" applyFont="1" applyBorder="1"/>
    <xf numFmtId="0" fontId="1" fillId="4" borderId="1" xfId="0" applyFont="1" applyFill="1" applyBorder="1" applyAlignment="1">
      <alignment horizontal="center"/>
    </xf>
    <xf numFmtId="14" fontId="6" fillId="0" borderId="4" xfId="0" applyNumberFormat="1" applyFont="1" applyBorder="1"/>
    <xf numFmtId="0" fontId="4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left"/>
    </xf>
    <xf numFmtId="14" fontId="6" fillId="4" borderId="1" xfId="0" applyNumberFormat="1" applyFont="1" applyFill="1" applyBorder="1" applyAlignment="1">
      <alignment horizontal="left"/>
    </xf>
    <xf numFmtId="14" fontId="6" fillId="4" borderId="9" xfId="0" applyNumberFormat="1" applyFont="1" applyFill="1" applyBorder="1" applyAlignment="1">
      <alignment horizontal="left"/>
    </xf>
    <xf numFmtId="14" fontId="6" fillId="0" borderId="9" xfId="0" applyNumberFormat="1" applyFont="1" applyBorder="1" applyAlignment="1">
      <alignment horizontal="left"/>
    </xf>
    <xf numFmtId="0" fontId="6" fillId="4" borderId="4" xfId="0" applyFont="1" applyFill="1" applyBorder="1"/>
    <xf numFmtId="0" fontId="5" fillId="4" borderId="1" xfId="0" applyFont="1" applyFill="1" applyBorder="1"/>
    <xf numFmtId="14" fontId="5" fillId="4" borderId="1" xfId="0" applyNumberFormat="1" applyFont="1" applyFill="1" applyBorder="1"/>
    <xf numFmtId="0" fontId="5" fillId="4" borderId="9" xfId="0" applyFont="1" applyFill="1" applyBorder="1"/>
    <xf numFmtId="0" fontId="5" fillId="0" borderId="4" xfId="0" applyFont="1" applyBorder="1"/>
    <xf numFmtId="14" fontId="5" fillId="4" borderId="1" xfId="0" applyNumberFormat="1" applyFont="1" applyFill="1" applyBorder="1" applyAlignment="1">
      <alignment horizontal="left"/>
    </xf>
    <xf numFmtId="0" fontId="5" fillId="0" borderId="1" xfId="0" applyFont="1" applyBorder="1"/>
    <xf numFmtId="14" fontId="5" fillId="0" borderId="1" xfId="0" applyNumberFormat="1" applyFont="1" applyBorder="1" applyAlignment="1">
      <alignment horizontal="left"/>
    </xf>
    <xf numFmtId="0" fontId="5" fillId="4" borderId="6" xfId="0" applyFont="1" applyFill="1" applyBorder="1"/>
    <xf numFmtId="0" fontId="5" fillId="0" borderId="9" xfId="0" applyFont="1" applyBorder="1"/>
    <xf numFmtId="14" fontId="5" fillId="0" borderId="9" xfId="0" applyNumberFormat="1" applyFont="1" applyBorder="1"/>
    <xf numFmtId="0" fontId="5" fillId="0" borderId="6" xfId="0" applyFont="1" applyBorder="1"/>
    <xf numFmtId="0" fontId="1" fillId="4" borderId="10" xfId="0" applyFont="1" applyFill="1" applyBorder="1" applyAlignment="1">
      <alignment horizontal="center"/>
    </xf>
    <xf numFmtId="0" fontId="14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14" fillId="0" borderId="1" xfId="0" applyFont="1" applyBorder="1"/>
    <xf numFmtId="14" fontId="5" fillId="0" borderId="9" xfId="0" applyNumberFormat="1" applyFont="1" applyBorder="1" applyAlignment="1">
      <alignment horizontal="left"/>
    </xf>
    <xf numFmtId="14" fontId="5" fillId="0" borderId="1" xfId="0" applyNumberFormat="1" applyFont="1" applyBorder="1"/>
    <xf numFmtId="14" fontId="5" fillId="4" borderId="9" xfId="0" applyNumberFormat="1" applyFont="1" applyFill="1" applyBorder="1" applyAlignment="1">
      <alignment horizontal="left"/>
    </xf>
    <xf numFmtId="0" fontId="1" fillId="4" borderId="0" xfId="0" applyFont="1" applyFill="1" applyAlignment="1">
      <alignment horizontal="center"/>
    </xf>
    <xf numFmtId="0" fontId="5" fillId="4" borderId="4" xfId="0" applyFont="1" applyFill="1" applyBorder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5" fillId="3" borderId="1" xfId="0" applyFont="1" applyFill="1" applyBorder="1"/>
    <xf numFmtId="0" fontId="2" fillId="4" borderId="1" xfId="0" applyFont="1" applyFill="1" applyBorder="1"/>
    <xf numFmtId="14" fontId="5" fillId="0" borderId="4" xfId="0" applyNumberFormat="1" applyFont="1" applyBorder="1"/>
    <xf numFmtId="0" fontId="17" fillId="4" borderId="1" xfId="0" applyFont="1" applyFill="1" applyBorder="1"/>
    <xf numFmtId="0" fontId="18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8" fillId="2" borderId="1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6" fillId="3" borderId="3" xfId="0" applyFont="1" applyFill="1" applyBorder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6" fillId="0" borderId="1" xfId="0" applyNumberFormat="1" applyFont="1" applyBorder="1"/>
    <xf numFmtId="1" fontId="6" fillId="4" borderId="1" xfId="0" applyNumberFormat="1" applyFont="1" applyFill="1" applyBorder="1"/>
    <xf numFmtId="1" fontId="5" fillId="0" borderId="1" xfId="0" applyNumberFormat="1" applyFont="1" applyBorder="1"/>
    <xf numFmtId="0" fontId="18" fillId="2" borderId="6" xfId="0" applyFont="1" applyFill="1" applyBorder="1" applyAlignment="1">
      <alignment vertical="center" wrapText="1"/>
    </xf>
    <xf numFmtId="0" fontId="18" fillId="2" borderId="6" xfId="0" applyFont="1" applyFill="1" applyBorder="1" applyAlignment="1">
      <alignment vertical="center"/>
    </xf>
    <xf numFmtId="0" fontId="18" fillId="2" borderId="6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left"/>
    </xf>
    <xf numFmtId="1" fontId="6" fillId="3" borderId="1" xfId="0" applyNumberFormat="1" applyFont="1" applyFill="1" applyBorder="1"/>
    <xf numFmtId="1" fontId="5" fillId="4" borderId="1" xfId="0" applyNumberFormat="1" applyFont="1" applyFill="1" applyBorder="1"/>
    <xf numFmtId="1" fontId="5" fillId="0" borderId="1" xfId="0" applyNumberFormat="1" applyFont="1" applyBorder="1" applyAlignment="1">
      <alignment horizontal="left"/>
    </xf>
    <xf numFmtId="1" fontId="6" fillId="4" borderId="1" xfId="0" applyNumberFormat="1" applyFont="1" applyFill="1" applyBorder="1" applyAlignment="1">
      <alignment horizontal="left"/>
    </xf>
    <xf numFmtId="1" fontId="2" fillId="2" borderId="1" xfId="0" applyNumberFormat="1" applyFont="1" applyFill="1" applyBorder="1"/>
    <xf numFmtId="1" fontId="0" fillId="0" borderId="0" xfId="0" applyNumberFormat="1"/>
    <xf numFmtId="1" fontId="4" fillId="2" borderId="6" xfId="0" applyNumberFormat="1" applyFont="1" applyFill="1" applyBorder="1" applyAlignment="1">
      <alignment horizontal="center" vertical="center" wrapText="1"/>
    </xf>
    <xf numFmtId="1" fontId="6" fillId="0" borderId="4" xfId="0" applyNumberFormat="1" applyFont="1" applyBorder="1"/>
    <xf numFmtId="1" fontId="6" fillId="0" borderId="6" xfId="0" applyNumberFormat="1" applyFont="1" applyBorder="1"/>
    <xf numFmtId="1" fontId="6" fillId="3" borderId="7" xfId="0" applyNumberFormat="1" applyFont="1" applyFill="1" applyBorder="1"/>
    <xf numFmtId="1" fontId="6" fillId="4" borderId="9" xfId="0" applyNumberFormat="1" applyFont="1" applyFill="1" applyBorder="1"/>
    <xf numFmtId="1" fontId="6" fillId="4" borderId="6" xfId="0" applyNumberFormat="1" applyFont="1" applyFill="1" applyBorder="1"/>
    <xf numFmtId="1" fontId="6" fillId="4" borderId="4" xfId="0" applyNumberFormat="1" applyFont="1" applyFill="1" applyBorder="1"/>
    <xf numFmtId="1" fontId="6" fillId="3" borderId="3" xfId="0" applyNumberFormat="1" applyFont="1" applyFill="1" applyBorder="1"/>
    <xf numFmtId="1" fontId="5" fillId="0" borderId="6" xfId="0" applyNumberFormat="1" applyFont="1" applyBorder="1"/>
    <xf numFmtId="1" fontId="5" fillId="0" borderId="4" xfId="0" applyNumberFormat="1" applyFont="1" applyBorder="1"/>
    <xf numFmtId="1" fontId="5" fillId="4" borderId="6" xfId="0" applyNumberFormat="1" applyFont="1" applyFill="1" applyBorder="1"/>
    <xf numFmtId="1" fontId="5" fillId="4" borderId="9" xfId="0" applyNumberFormat="1" applyFont="1" applyFill="1" applyBorder="1"/>
    <xf numFmtId="1" fontId="5" fillId="4" borderId="4" xfId="0" applyNumberFormat="1" applyFont="1" applyFill="1" applyBorder="1"/>
    <xf numFmtId="1" fontId="5" fillId="4" borderId="1" xfId="0" applyNumberFormat="1" applyFont="1" applyFill="1" applyBorder="1" applyAlignment="1">
      <alignment horizontal="left"/>
    </xf>
    <xf numFmtId="0" fontId="6" fillId="3" borderId="7" xfId="0" applyFont="1" applyFill="1" applyBorder="1" applyAlignment="1">
      <alignment horizontal="center"/>
    </xf>
    <xf numFmtId="1" fontId="6" fillId="3" borderId="7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1" fontId="18" fillId="2" borderId="6" xfId="0" applyNumberFormat="1" applyFont="1" applyFill="1" applyBorder="1" applyAlignment="1">
      <alignment horizontal="center" vertical="center" wrapText="1"/>
    </xf>
    <xf numFmtId="1" fontId="5" fillId="0" borderId="0" xfId="0" applyNumberFormat="1" applyFont="1"/>
    <xf numFmtId="1" fontId="5" fillId="0" borderId="0" xfId="0" applyNumberFormat="1" applyFont="1" applyAlignment="1">
      <alignment horizontal="left"/>
    </xf>
    <xf numFmtId="14" fontId="14" fillId="0" borderId="1" xfId="0" applyNumberFormat="1" applyFont="1" applyBorder="1"/>
    <xf numFmtId="0" fontId="22" fillId="4" borderId="1" xfId="0" applyFont="1" applyFill="1" applyBorder="1"/>
    <xf numFmtId="0" fontId="14" fillId="4" borderId="1" xfId="0" applyFont="1" applyFill="1" applyBorder="1"/>
    <xf numFmtId="14" fontId="14" fillId="0" borderId="1" xfId="0" applyNumberFormat="1" applyFont="1" applyBorder="1" applyAlignment="1">
      <alignment horizontal="left"/>
    </xf>
    <xf numFmtId="0" fontId="14" fillId="3" borderId="1" xfId="0" applyFont="1" applyFill="1" applyBorder="1"/>
    <xf numFmtId="0" fontId="14" fillId="3" borderId="7" xfId="0" applyFont="1" applyFill="1" applyBorder="1" applyAlignment="1">
      <alignment horizontal="center"/>
    </xf>
    <xf numFmtId="1" fontId="5" fillId="3" borderId="7" xfId="0" applyNumberFormat="1" applyFont="1" applyFill="1" applyBorder="1" applyAlignment="1">
      <alignment horizontal="center"/>
    </xf>
    <xf numFmtId="0" fontId="24" fillId="0" borderId="1" xfId="0" applyFont="1" applyBorder="1"/>
    <xf numFmtId="0" fontId="5" fillId="3" borderId="7" xfId="0" applyFont="1" applyFill="1" applyBorder="1" applyAlignment="1">
      <alignment horizontal="center"/>
    </xf>
    <xf numFmtId="1" fontId="0" fillId="0" borderId="1" xfId="0" applyNumberFormat="1" applyBorder="1"/>
    <xf numFmtId="0" fontId="6" fillId="0" borderId="0" xfId="0" applyFont="1" applyAlignment="1">
      <alignment horizontal="left" vertical="center" wrapText="1"/>
    </xf>
    <xf numFmtId="1" fontId="6" fillId="0" borderId="4" xfId="0" applyNumberFormat="1" applyFont="1" applyBorder="1" applyAlignment="1">
      <alignment horizontal="center"/>
    </xf>
    <xf numFmtId="0" fontId="25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wrapText="1"/>
    </xf>
    <xf numFmtId="0" fontId="25" fillId="4" borderId="1" xfId="0" applyFont="1" applyFill="1" applyBorder="1" applyAlignment="1">
      <alignment horizontal="center"/>
    </xf>
    <xf numFmtId="0" fontId="25" fillId="4" borderId="1" xfId="0" applyFont="1" applyFill="1" applyBorder="1"/>
    <xf numFmtId="0" fontId="26" fillId="4" borderId="1" xfId="0" applyFont="1" applyFill="1" applyBorder="1"/>
    <xf numFmtId="1" fontId="6" fillId="3" borderId="3" xfId="0" applyNumberFormat="1" applyFont="1" applyFill="1" applyBorder="1" applyAlignment="1">
      <alignment horizontal="center"/>
    </xf>
    <xf numFmtId="1" fontId="27" fillId="0" borderId="0" xfId="0" applyNumberFormat="1" applyFont="1"/>
    <xf numFmtId="0" fontId="27" fillId="0" borderId="0" xfId="0" applyFont="1"/>
    <xf numFmtId="0" fontId="6" fillId="4" borderId="19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wrapText="1"/>
    </xf>
    <xf numFmtId="0" fontId="20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9" fillId="3" borderId="11" xfId="0" applyFont="1" applyFill="1" applyBorder="1" applyAlignment="1">
      <alignment horizontal="center" wrapText="1"/>
    </xf>
    <xf numFmtId="0" fontId="6" fillId="4" borderId="16" xfId="0" applyFont="1" applyFill="1" applyBorder="1"/>
    <xf numFmtId="0" fontId="14" fillId="0" borderId="16" xfId="0" applyFont="1" applyBorder="1"/>
    <xf numFmtId="0" fontId="14" fillId="0" borderId="10" xfId="0" applyFont="1" applyBorder="1"/>
    <xf numFmtId="0" fontId="6" fillId="4" borderId="10" xfId="0" applyFont="1" applyFill="1" applyBorder="1"/>
    <xf numFmtId="14" fontId="6" fillId="4" borderId="10" xfId="0" applyNumberFormat="1" applyFont="1" applyFill="1" applyBorder="1" applyAlignment="1">
      <alignment horizontal="left"/>
    </xf>
    <xf numFmtId="0" fontId="6" fillId="3" borderId="14" xfId="0" applyFont="1" applyFill="1" applyBorder="1"/>
    <xf numFmtId="0" fontId="25" fillId="4" borderId="10" xfId="0" applyFont="1" applyFill="1" applyBorder="1" applyAlignment="1">
      <alignment horizontal="center"/>
    </xf>
    <xf numFmtId="0" fontId="18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1" fontId="18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right"/>
    </xf>
    <xf numFmtId="1" fontId="5" fillId="3" borderId="1" xfId="0" applyNumberFormat="1" applyFont="1" applyFill="1" applyBorder="1" applyAlignment="1">
      <alignment horizontal="center"/>
    </xf>
    <xf numFmtId="0" fontId="28" fillId="0" borderId="0" xfId="0" applyFont="1"/>
    <xf numFmtId="1" fontId="29" fillId="2" borderId="1" xfId="0" applyNumberFormat="1" applyFont="1" applyFill="1" applyBorder="1"/>
    <xf numFmtId="0" fontId="29" fillId="2" borderId="1" xfId="0" applyFont="1" applyFill="1" applyBorder="1"/>
    <xf numFmtId="1" fontId="1" fillId="4" borderId="1" xfId="0" applyNumberFormat="1" applyFont="1" applyFill="1" applyBorder="1"/>
    <xf numFmtId="1" fontId="17" fillId="4" borderId="1" xfId="0" applyNumberFormat="1" applyFont="1" applyFill="1" applyBorder="1"/>
    <xf numFmtId="0" fontId="30" fillId="2" borderId="6" xfId="0" applyFont="1" applyFill="1" applyBorder="1" applyAlignment="1">
      <alignment horizontal="center" vertical="center"/>
    </xf>
    <xf numFmtId="0" fontId="33" fillId="0" borderId="0" xfId="0" applyFont="1"/>
    <xf numFmtId="1" fontId="5" fillId="3" borderId="7" xfId="0" applyNumberFormat="1" applyFont="1" applyFill="1" applyBorder="1"/>
    <xf numFmtId="1" fontId="5" fillId="0" borderId="4" xfId="0" applyNumberFormat="1" applyFont="1" applyBorder="1" applyAlignment="1">
      <alignment horizontal="center"/>
    </xf>
    <xf numFmtId="0" fontId="32" fillId="0" borderId="0" xfId="0" applyFont="1" applyAlignment="1">
      <alignment horizontal="center" vertical="center" wrapText="1"/>
    </xf>
    <xf numFmtId="0" fontId="29" fillId="0" borderId="0" xfId="0" applyFont="1"/>
    <xf numFmtId="0" fontId="34" fillId="0" borderId="0" xfId="0" applyFont="1"/>
    <xf numFmtId="0" fontId="35" fillId="0" borderId="0" xfId="0" applyFont="1"/>
    <xf numFmtId="0" fontId="0" fillId="0" borderId="0" xfId="0" applyAlignment="1">
      <alignment horizontal="right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0" xfId="0" applyFont="1"/>
    <xf numFmtId="0" fontId="37" fillId="0" borderId="0" xfId="0" applyFont="1"/>
    <xf numFmtId="2" fontId="37" fillId="0" borderId="0" xfId="0" applyNumberFormat="1" applyFont="1"/>
    <xf numFmtId="0" fontId="39" fillId="0" borderId="0" xfId="0" applyFont="1"/>
    <xf numFmtId="2" fontId="37" fillId="0" borderId="26" xfId="0" applyNumberFormat="1" applyFont="1" applyBorder="1"/>
    <xf numFmtId="2" fontId="40" fillId="0" borderId="0" xfId="0" applyNumberFormat="1" applyFont="1"/>
    <xf numFmtId="2" fontId="41" fillId="0" borderId="0" xfId="0" applyNumberFormat="1" applyFont="1"/>
    <xf numFmtId="1" fontId="5" fillId="3" borderId="1" xfId="0" applyNumberFormat="1" applyFont="1" applyFill="1" applyBorder="1"/>
    <xf numFmtId="0" fontId="9" fillId="2" borderId="6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47" fillId="2" borderId="6" xfId="0" applyFont="1" applyFill="1" applyBorder="1" applyAlignment="1">
      <alignment horizontal="center" vertical="center" wrapText="1"/>
    </xf>
    <xf numFmtId="1" fontId="9" fillId="2" borderId="6" xfId="0" applyNumberFormat="1" applyFont="1" applyFill="1" applyBorder="1" applyAlignment="1">
      <alignment horizontal="center" vertical="center" wrapText="1"/>
    </xf>
    <xf numFmtId="1" fontId="10" fillId="0" borderId="0" xfId="0" applyNumberFormat="1" applyFont="1"/>
    <xf numFmtId="1" fontId="10" fillId="0" borderId="1" xfId="0" applyNumberFormat="1" applyFont="1" applyBorder="1"/>
    <xf numFmtId="1" fontId="10" fillId="4" borderId="1" xfId="0" applyNumberFormat="1" applyFont="1" applyFill="1" applyBorder="1"/>
    <xf numFmtId="14" fontId="6" fillId="4" borderId="9" xfId="0" applyNumberFormat="1" applyFont="1" applyFill="1" applyBorder="1"/>
    <xf numFmtId="0" fontId="42" fillId="4" borderId="1" xfId="0" applyFont="1" applyFill="1" applyBorder="1"/>
    <xf numFmtId="0" fontId="48" fillId="0" borderId="1" xfId="0" applyFont="1" applyBorder="1"/>
    <xf numFmtId="0" fontId="14" fillId="0" borderId="4" xfId="0" applyFont="1" applyBorder="1"/>
    <xf numFmtId="14" fontId="14" fillId="0" borderId="4" xfId="0" applyNumberFormat="1" applyFont="1" applyBorder="1"/>
    <xf numFmtId="1" fontId="14" fillId="0" borderId="4" xfId="0" applyNumberFormat="1" applyFont="1" applyBorder="1"/>
    <xf numFmtId="1" fontId="14" fillId="0" borderId="1" xfId="0" applyNumberFormat="1" applyFont="1" applyBorder="1"/>
    <xf numFmtId="1" fontId="14" fillId="0" borderId="1" xfId="0" applyNumberFormat="1" applyFont="1" applyBorder="1" applyAlignment="1">
      <alignment horizontal="left"/>
    </xf>
    <xf numFmtId="0" fontId="14" fillId="0" borderId="6" xfId="0" applyFont="1" applyBorder="1"/>
    <xf numFmtId="1" fontId="14" fillId="0" borderId="6" xfId="0" applyNumberFormat="1" applyFont="1" applyBorder="1"/>
    <xf numFmtId="1" fontId="14" fillId="3" borderId="7" xfId="0" applyNumberFormat="1" applyFont="1" applyFill="1" applyBorder="1" applyAlignment="1">
      <alignment horizontal="center"/>
    </xf>
    <xf numFmtId="0" fontId="14" fillId="3" borderId="7" xfId="0" applyFont="1" applyFill="1" applyBorder="1"/>
    <xf numFmtId="1" fontId="49" fillId="4" borderId="9" xfId="0" applyNumberFormat="1" applyFont="1" applyFill="1" applyBorder="1"/>
    <xf numFmtId="0" fontId="6" fillId="3" borderId="19" xfId="0" applyFont="1" applyFill="1" applyBorder="1"/>
    <xf numFmtId="0" fontId="6" fillId="3" borderId="10" xfId="0" applyFont="1" applyFill="1" applyBorder="1"/>
    <xf numFmtId="1" fontId="50" fillId="0" borderId="4" xfId="0" applyNumberFormat="1" applyFont="1" applyBorder="1"/>
    <xf numFmtId="1" fontId="50" fillId="0" borderId="1" xfId="0" applyNumberFormat="1" applyFont="1" applyBorder="1"/>
    <xf numFmtId="0" fontId="5" fillId="0" borderId="2" xfId="0" applyFont="1" applyBorder="1"/>
    <xf numFmtId="1" fontId="5" fillId="0" borderId="2" xfId="0" applyNumberFormat="1" applyFont="1" applyBorder="1"/>
    <xf numFmtId="0" fontId="5" fillId="0" borderId="3" xfId="0" applyFont="1" applyBorder="1"/>
    <xf numFmtId="0" fontId="51" fillId="2" borderId="4" xfId="0" applyFont="1" applyFill="1" applyBorder="1"/>
    <xf numFmtId="0" fontId="9" fillId="2" borderId="7" xfId="0" applyFont="1" applyFill="1" applyBorder="1"/>
    <xf numFmtId="1" fontId="9" fillId="2" borderId="7" xfId="0" applyNumberFormat="1" applyFont="1" applyFill="1" applyBorder="1" applyAlignment="1">
      <alignment horizontal="center"/>
    </xf>
    <xf numFmtId="0" fontId="22" fillId="0" borderId="1" xfId="0" applyFont="1" applyBorder="1"/>
    <xf numFmtId="1" fontId="27" fillId="0" borderId="1" xfId="0" applyNumberFormat="1" applyFont="1" applyBorder="1"/>
    <xf numFmtId="1" fontId="0" fillId="4" borderId="1" xfId="0" applyNumberFormat="1" applyFill="1" applyBorder="1"/>
    <xf numFmtId="0" fontId="14" fillId="4" borderId="16" xfId="0" applyFont="1" applyFill="1" applyBorder="1"/>
    <xf numFmtId="0" fontId="14" fillId="4" borderId="10" xfId="0" applyFont="1" applyFill="1" applyBorder="1"/>
    <xf numFmtId="0" fontId="6" fillId="2" borderId="7" xfId="0" applyFont="1" applyFill="1" applyBorder="1"/>
    <xf numFmtId="1" fontId="6" fillId="2" borderId="7" xfId="0" applyNumberFormat="1" applyFont="1" applyFill="1" applyBorder="1"/>
    <xf numFmtId="0" fontId="6" fillId="2" borderId="14" xfId="0" applyFont="1" applyFill="1" applyBorder="1"/>
    <xf numFmtId="0" fontId="6" fillId="4" borderId="7" xfId="0" applyFont="1" applyFill="1" applyBorder="1"/>
    <xf numFmtId="1" fontId="6" fillId="4" borderId="7" xfId="0" applyNumberFormat="1" applyFont="1" applyFill="1" applyBorder="1"/>
    <xf numFmtId="0" fontId="6" fillId="4" borderId="14" xfId="0" applyFont="1" applyFill="1" applyBorder="1"/>
    <xf numFmtId="0" fontId="53" fillId="0" borderId="4" xfId="0" applyFont="1" applyBorder="1"/>
    <xf numFmtId="14" fontId="53" fillId="0" borderId="4" xfId="0" applyNumberFormat="1" applyFont="1" applyBorder="1"/>
    <xf numFmtId="0" fontId="53" fillId="0" borderId="1" xfId="0" applyFont="1" applyBorder="1"/>
    <xf numFmtId="0" fontId="54" fillId="0" borderId="1" xfId="0" applyFont="1" applyBorder="1"/>
    <xf numFmtId="0" fontId="53" fillId="4" borderId="1" xfId="0" applyFont="1" applyFill="1" applyBorder="1"/>
    <xf numFmtId="0" fontId="55" fillId="0" borderId="1" xfId="0" applyFont="1" applyBorder="1"/>
    <xf numFmtId="1" fontId="53" fillId="0" borderId="1" xfId="0" applyNumberFormat="1" applyFont="1" applyBorder="1"/>
    <xf numFmtId="0" fontId="53" fillId="0" borderId="6" xfId="0" applyFont="1" applyBorder="1"/>
    <xf numFmtId="1" fontId="53" fillId="0" borderId="6" xfId="0" applyNumberFormat="1" applyFont="1" applyBorder="1"/>
    <xf numFmtId="0" fontId="53" fillId="3" borderId="7" xfId="0" applyFont="1" applyFill="1" applyBorder="1"/>
    <xf numFmtId="1" fontId="53" fillId="3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5" fillId="3" borderId="3" xfId="0" applyFont="1" applyFill="1" applyBorder="1"/>
    <xf numFmtId="0" fontId="5" fillId="0" borderId="0" xfId="0" applyFont="1" applyAlignment="1">
      <alignment horizontal="center" vertical="center" wrapText="1"/>
    </xf>
    <xf numFmtId="0" fontId="14" fillId="3" borderId="3" xfId="0" applyFont="1" applyFill="1" applyBorder="1"/>
    <xf numFmtId="0" fontId="6" fillId="5" borderId="9" xfId="0" applyFont="1" applyFill="1" applyBorder="1"/>
    <xf numFmtId="14" fontId="6" fillId="5" borderId="9" xfId="0" applyNumberFormat="1" applyFont="1" applyFill="1" applyBorder="1" applyAlignment="1">
      <alignment horizontal="left"/>
    </xf>
    <xf numFmtId="0" fontId="6" fillId="5" borderId="4" xfId="0" applyFont="1" applyFill="1" applyBorder="1"/>
    <xf numFmtId="1" fontId="6" fillId="5" borderId="4" xfId="0" applyNumberFormat="1" applyFont="1" applyFill="1" applyBorder="1"/>
    <xf numFmtId="0" fontId="6" fillId="5" borderId="1" xfId="0" applyFont="1" applyFill="1" applyBorder="1"/>
    <xf numFmtId="1" fontId="6" fillId="5" borderId="1" xfId="0" applyNumberFormat="1" applyFont="1" applyFill="1" applyBorder="1"/>
    <xf numFmtId="1" fontId="6" fillId="5" borderId="1" xfId="0" applyNumberFormat="1" applyFont="1" applyFill="1" applyBorder="1" applyAlignment="1">
      <alignment horizontal="left"/>
    </xf>
    <xf numFmtId="0" fontId="6" fillId="5" borderId="6" xfId="0" applyFont="1" applyFill="1" applyBorder="1"/>
    <xf numFmtId="1" fontId="6" fillId="5" borderId="6" xfId="0" applyNumberFormat="1" applyFont="1" applyFill="1" applyBorder="1"/>
    <xf numFmtId="0" fontId="6" fillId="5" borderId="7" xfId="0" applyFont="1" applyFill="1" applyBorder="1"/>
    <xf numFmtId="1" fontId="6" fillId="5" borderId="7" xfId="0" applyNumberFormat="1" applyFont="1" applyFill="1" applyBorder="1" applyAlignment="1">
      <alignment horizontal="center"/>
    </xf>
    <xf numFmtId="1" fontId="6" fillId="2" borderId="7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3" fillId="3" borderId="14" xfId="0" applyFont="1" applyFill="1" applyBorder="1" applyAlignment="1">
      <alignment horizontal="center" wrapText="1"/>
    </xf>
    <xf numFmtId="0" fontId="13" fillId="3" borderId="13" xfId="0" applyFont="1" applyFill="1" applyBorder="1" applyAlignment="1">
      <alignment horizont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15" xfId="0" applyFont="1" applyBorder="1" applyAlignment="1">
      <alignment horizontal="center"/>
    </xf>
    <xf numFmtId="14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4" fontId="6" fillId="4" borderId="8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5" fillId="4" borderId="8" xfId="0" applyNumberFormat="1" applyFont="1" applyFill="1" applyBorder="1" applyAlignment="1">
      <alignment horizontal="center" vertical="center" wrapText="1"/>
    </xf>
    <xf numFmtId="14" fontId="6" fillId="4" borderId="2" xfId="0" applyNumberFormat="1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6" fillId="5" borderId="8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14" fontId="6" fillId="5" borderId="8" xfId="0" applyNumberFormat="1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wrapText="1"/>
    </xf>
    <xf numFmtId="0" fontId="9" fillId="5" borderId="13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wrapText="1"/>
    </xf>
    <xf numFmtId="0" fontId="13" fillId="2" borderId="13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0" borderId="15" xfId="0" applyFont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center" wrapText="1"/>
    </xf>
    <xf numFmtId="0" fontId="51" fillId="2" borderId="16" xfId="0" applyFont="1" applyFill="1" applyBorder="1" applyAlignment="1">
      <alignment horizontal="center" vertical="center"/>
    </xf>
    <xf numFmtId="0" fontId="52" fillId="2" borderId="17" xfId="0" applyFont="1" applyFill="1" applyBorder="1"/>
    <xf numFmtId="0" fontId="52" fillId="2" borderId="15" xfId="0" applyFont="1" applyFill="1" applyBorder="1"/>
    <xf numFmtId="0" fontId="52" fillId="2" borderId="25" xfId="0" applyFont="1" applyFill="1" applyBorder="1"/>
    <xf numFmtId="14" fontId="6" fillId="4" borderId="8" xfId="0" applyNumberFormat="1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6" fillId="0" borderId="15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 vertical="center" wrapText="1"/>
    </xf>
    <xf numFmtId="14" fontId="6" fillId="4" borderId="4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13" fillId="3" borderId="10" xfId="0" applyFont="1" applyFill="1" applyBorder="1" applyAlignment="1">
      <alignment horizontal="center" wrapText="1"/>
    </xf>
    <xf numFmtId="0" fontId="13" fillId="3" borderId="1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/>
    </xf>
    <xf numFmtId="14" fontId="5" fillId="4" borderId="8" xfId="0" applyNumberFormat="1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14" fontId="5" fillId="4" borderId="3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7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14" fontId="6" fillId="4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14" fontId="14" fillId="0" borderId="8" xfId="0" applyNumberFormat="1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/>
    </xf>
    <xf numFmtId="0" fontId="53" fillId="4" borderId="8" xfId="0" applyFont="1" applyFill="1" applyBorder="1" applyAlignment="1">
      <alignment horizontal="left" vertical="center" wrapText="1"/>
    </xf>
    <xf numFmtId="0" fontId="53" fillId="4" borderId="3" xfId="0" applyFont="1" applyFill="1" applyBorder="1" applyAlignment="1">
      <alignment horizontal="left" vertical="center" wrapText="1"/>
    </xf>
    <xf numFmtId="0" fontId="53" fillId="4" borderId="7" xfId="0" applyFont="1" applyFill="1" applyBorder="1" applyAlignment="1">
      <alignment horizontal="left" vertical="center" wrapText="1"/>
    </xf>
    <xf numFmtId="0" fontId="53" fillId="4" borderId="8" xfId="0" applyFont="1" applyFill="1" applyBorder="1" applyAlignment="1">
      <alignment horizontal="center" vertical="center" wrapText="1"/>
    </xf>
    <xf numFmtId="0" fontId="53" fillId="4" borderId="3" xfId="0" applyFont="1" applyFill="1" applyBorder="1" applyAlignment="1">
      <alignment horizontal="center" vertical="center" wrapText="1"/>
    </xf>
    <xf numFmtId="0" fontId="53" fillId="4" borderId="7" xfId="0" applyFont="1" applyFill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 wrapText="1"/>
    </xf>
    <xf numFmtId="14" fontId="53" fillId="0" borderId="8" xfId="0" applyNumberFormat="1" applyFont="1" applyBorder="1" applyAlignment="1">
      <alignment horizontal="center" vertical="center" wrapText="1"/>
    </xf>
    <xf numFmtId="0" fontId="56" fillId="3" borderId="14" xfId="0" applyFont="1" applyFill="1" applyBorder="1" applyAlignment="1">
      <alignment horizontal="center" wrapText="1"/>
    </xf>
    <xf numFmtId="0" fontId="56" fillId="3" borderId="13" xfId="0" applyFont="1" applyFill="1" applyBorder="1" applyAlignment="1">
      <alignment horizontal="center" wrapText="1"/>
    </xf>
    <xf numFmtId="14" fontId="5" fillId="4" borderId="2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9" fillId="2" borderId="10" xfId="0" applyFont="1" applyFill="1" applyBorder="1" applyAlignment="1">
      <alignment horizontal="center"/>
    </xf>
    <xf numFmtId="0" fontId="29" fillId="2" borderId="11" xfId="0" applyFont="1" applyFill="1" applyBorder="1" applyAlignment="1">
      <alignment horizontal="center"/>
    </xf>
    <xf numFmtId="0" fontId="29" fillId="2" borderId="12" xfId="0" applyFont="1" applyFill="1" applyBorder="1" applyAlignment="1">
      <alignment horizontal="center"/>
    </xf>
    <xf numFmtId="14" fontId="6" fillId="4" borderId="7" xfId="0" applyNumberFormat="1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9" fillId="3" borderId="27" xfId="0" applyFont="1" applyFill="1" applyBorder="1" applyAlignment="1">
      <alignment horizontal="center" wrapText="1"/>
    </xf>
    <xf numFmtId="0" fontId="9" fillId="3" borderId="28" xfId="0" applyFont="1" applyFill="1" applyBorder="1" applyAlignment="1">
      <alignment horizontal="center" wrapText="1"/>
    </xf>
    <xf numFmtId="0" fontId="9" fillId="4" borderId="29" xfId="0" applyFont="1" applyFill="1" applyBorder="1" applyAlignment="1">
      <alignment horizontal="center" wrapText="1"/>
    </xf>
    <xf numFmtId="0" fontId="9" fillId="4" borderId="30" xfId="0" applyFont="1" applyFill="1" applyBorder="1" applyAlignment="1">
      <alignment horizont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left"/>
    </xf>
    <xf numFmtId="0" fontId="36" fillId="0" borderId="22" xfId="0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24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20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22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workbookViewId="0">
      <pane xSplit="5" ySplit="5" topLeftCell="F77" activePane="bottomRight" state="frozen"/>
      <selection pane="topRight" activeCell="F1" sqref="F1"/>
      <selection pane="bottomLeft" activeCell="A6" sqref="A6"/>
      <selection pane="bottomRight" activeCell="N102" sqref="N102"/>
    </sheetView>
  </sheetViews>
  <sheetFormatPr defaultRowHeight="14.4" x14ac:dyDescent="0.3"/>
  <cols>
    <col min="1" max="1" width="3.5546875" customWidth="1"/>
    <col min="2" max="2" width="32.44140625" style="62" customWidth="1"/>
    <col min="3" max="3" width="6.6640625" customWidth="1"/>
    <col min="4" max="4" width="8.109375" customWidth="1"/>
    <col min="5" max="5" width="10.6640625" customWidth="1"/>
    <col min="6" max="6" width="8" customWidth="1"/>
    <col min="7" max="7" width="10" customWidth="1"/>
    <col min="8" max="8" width="8.33203125" customWidth="1"/>
    <col min="9" max="9" width="8.109375" customWidth="1"/>
    <col min="10" max="10" width="11" customWidth="1"/>
    <col min="11" max="11" width="8.5546875" customWidth="1"/>
    <col min="12" max="12" width="10.5546875" customWidth="1"/>
    <col min="13" max="13" width="10.44140625" customWidth="1"/>
    <col min="14" max="14" width="11" customWidth="1"/>
    <col min="15" max="15" width="13.33203125" style="84" customWidth="1"/>
    <col min="16" max="16" width="9" customWidth="1"/>
  </cols>
  <sheetData>
    <row r="1" spans="1:16" ht="20.399999999999999" x14ac:dyDescent="0.35">
      <c r="A1" s="272" t="s">
        <v>10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</row>
    <row r="2" spans="1:16" ht="27.6" x14ac:dyDescent="0.45">
      <c r="A2" s="273" t="s">
        <v>11</v>
      </c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273"/>
      <c r="P2" s="273"/>
    </row>
    <row r="3" spans="1:16" ht="17.399999999999999" x14ac:dyDescent="0.3">
      <c r="A3" s="274" t="s">
        <v>12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</row>
    <row r="4" spans="1:16" ht="25.2" x14ac:dyDescent="0.45">
      <c r="A4" s="275" t="s">
        <v>428</v>
      </c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</row>
    <row r="5" spans="1:16" ht="42" thickBot="1" x14ac:dyDescent="0.35">
      <c r="A5" s="171" t="s">
        <v>0</v>
      </c>
      <c r="B5" s="172" t="s">
        <v>13</v>
      </c>
      <c r="C5" s="173" t="s">
        <v>14</v>
      </c>
      <c r="D5" s="172" t="s">
        <v>1</v>
      </c>
      <c r="E5" s="173" t="s">
        <v>2</v>
      </c>
      <c r="F5" s="173" t="s">
        <v>8</v>
      </c>
      <c r="G5" s="173" t="s">
        <v>9</v>
      </c>
      <c r="H5" s="173" t="s">
        <v>46</v>
      </c>
      <c r="I5" s="173" t="s">
        <v>3</v>
      </c>
      <c r="J5" s="173" t="s">
        <v>4</v>
      </c>
      <c r="K5" s="173" t="s">
        <v>5</v>
      </c>
      <c r="L5" s="173" t="s">
        <v>15</v>
      </c>
      <c r="M5" s="173" t="s">
        <v>49</v>
      </c>
      <c r="N5" s="174" t="s">
        <v>6</v>
      </c>
      <c r="O5" s="175" t="s">
        <v>7</v>
      </c>
      <c r="P5" s="173" t="s">
        <v>44</v>
      </c>
    </row>
    <row r="6" spans="1:16" ht="15" thickTop="1" x14ac:dyDescent="0.3">
      <c r="A6" s="282">
        <v>1</v>
      </c>
      <c r="B6" s="283" t="s">
        <v>326</v>
      </c>
      <c r="C6" s="286" t="s">
        <v>915</v>
      </c>
      <c r="D6" s="286" t="s">
        <v>290</v>
      </c>
      <c r="E6" s="297" t="s">
        <v>327</v>
      </c>
      <c r="F6" s="15">
        <v>6742</v>
      </c>
      <c r="G6" s="28" t="s">
        <v>279</v>
      </c>
      <c r="H6" s="30">
        <v>500</v>
      </c>
      <c r="I6" s="30">
        <v>11000</v>
      </c>
      <c r="J6" s="30">
        <v>3000</v>
      </c>
      <c r="K6" s="30"/>
      <c r="L6" s="30">
        <f>SUM(H6:K6)</f>
        <v>14500</v>
      </c>
      <c r="M6" s="246">
        <v>17500</v>
      </c>
      <c r="N6" s="30"/>
      <c r="O6" s="91" t="s">
        <v>240</v>
      </c>
      <c r="P6" s="30">
        <v>1500</v>
      </c>
    </row>
    <row r="7" spans="1:16" x14ac:dyDescent="0.3">
      <c r="A7" s="246"/>
      <c r="B7" s="284"/>
      <c r="C7" s="287"/>
      <c r="D7" s="287"/>
      <c r="E7" s="287"/>
      <c r="F7" s="16"/>
      <c r="G7" s="16"/>
      <c r="H7" s="16"/>
      <c r="I7" s="16"/>
      <c r="J7" s="16"/>
      <c r="K7" s="16"/>
      <c r="L7" s="30">
        <f t="shared" ref="L7:L10" si="0">SUM(H7:K7)</f>
        <v>0</v>
      </c>
      <c r="M7" s="246"/>
      <c r="N7" s="16"/>
      <c r="O7" s="72"/>
      <c r="P7" s="16"/>
    </row>
    <row r="8" spans="1:16" x14ac:dyDescent="0.3">
      <c r="A8" s="246"/>
      <c r="B8" s="284"/>
      <c r="C8" s="287"/>
      <c r="D8" s="287"/>
      <c r="E8" s="287"/>
      <c r="F8" s="16"/>
      <c r="G8" s="16"/>
      <c r="H8" s="16"/>
      <c r="I8" s="16"/>
      <c r="J8" s="16"/>
      <c r="K8" s="16"/>
      <c r="L8" s="30">
        <f t="shared" si="0"/>
        <v>0</v>
      </c>
      <c r="M8" s="246"/>
      <c r="N8" s="16"/>
      <c r="O8" s="82"/>
      <c r="P8" s="16"/>
    </row>
    <row r="9" spans="1:16" x14ac:dyDescent="0.3">
      <c r="A9" s="246"/>
      <c r="B9" s="284"/>
      <c r="C9" s="287"/>
      <c r="D9" s="287"/>
      <c r="E9" s="287"/>
      <c r="F9" s="16"/>
      <c r="G9" s="16"/>
      <c r="H9" s="16"/>
      <c r="I9" s="16"/>
      <c r="J9" s="16"/>
      <c r="K9" s="16"/>
      <c r="L9" s="30">
        <f t="shared" si="0"/>
        <v>0</v>
      </c>
      <c r="M9" s="246"/>
      <c r="N9" s="16"/>
      <c r="O9" s="72"/>
      <c r="P9" s="16"/>
    </row>
    <row r="10" spans="1:16" ht="15" thickBot="1" x14ac:dyDescent="0.35">
      <c r="A10" s="246"/>
      <c r="B10" s="284"/>
      <c r="C10" s="287"/>
      <c r="D10" s="287"/>
      <c r="E10" s="287"/>
      <c r="F10" s="17"/>
      <c r="G10" s="17"/>
      <c r="H10" s="17"/>
      <c r="I10" s="17"/>
      <c r="J10" s="17"/>
      <c r="K10" s="17"/>
      <c r="L10" s="30">
        <f t="shared" si="0"/>
        <v>0</v>
      </c>
      <c r="M10" s="247"/>
      <c r="N10" s="17"/>
      <c r="O10" s="90"/>
      <c r="P10" s="17"/>
    </row>
    <row r="11" spans="1:16" ht="15.6" thickTop="1" thickBot="1" x14ac:dyDescent="0.35">
      <c r="A11" s="247"/>
      <c r="B11" s="285"/>
      <c r="C11" s="288"/>
      <c r="D11" s="288"/>
      <c r="E11" s="288"/>
      <c r="F11" s="298"/>
      <c r="G11" s="299"/>
      <c r="H11" s="207">
        <f t="shared" ref="H11:K11" si="1">SUM(H6:H10)</f>
        <v>500</v>
      </c>
      <c r="I11" s="207">
        <f t="shared" si="1"/>
        <v>11000</v>
      </c>
      <c r="J11" s="207">
        <f t="shared" si="1"/>
        <v>3000</v>
      </c>
      <c r="K11" s="207">
        <f t="shared" si="1"/>
        <v>0</v>
      </c>
      <c r="L11" s="207">
        <f>SUM(L6:L10)</f>
        <v>14500</v>
      </c>
      <c r="M11" s="207"/>
      <c r="N11" s="207">
        <f>M6-L11</f>
        <v>3000</v>
      </c>
      <c r="O11" s="239"/>
      <c r="P11" s="207">
        <f>SUM(P6:P10)</f>
        <v>1500</v>
      </c>
    </row>
    <row r="12" spans="1:16" ht="15.75" customHeight="1" thickTop="1" x14ac:dyDescent="0.3">
      <c r="A12" s="249">
        <v>2</v>
      </c>
      <c r="B12" s="277" t="s">
        <v>361</v>
      </c>
      <c r="C12" s="264" t="s">
        <v>362</v>
      </c>
      <c r="D12" s="267" t="s">
        <v>363</v>
      </c>
      <c r="E12" s="276" t="s">
        <v>364</v>
      </c>
      <c r="F12" s="34">
        <v>6772</v>
      </c>
      <c r="G12" s="59" t="s">
        <v>365</v>
      </c>
      <c r="H12" s="39">
        <v>500</v>
      </c>
      <c r="I12" s="39">
        <v>14000</v>
      </c>
      <c r="J12" s="39">
        <v>3000</v>
      </c>
      <c r="K12" s="39"/>
      <c r="L12" s="34">
        <f>SUM(H12:K12)</f>
        <v>17500</v>
      </c>
      <c r="M12" s="271">
        <v>17500</v>
      </c>
      <c r="N12" s="36"/>
      <c r="O12" s="94" t="s">
        <v>240</v>
      </c>
      <c r="P12" s="34">
        <v>1500</v>
      </c>
    </row>
    <row r="13" spans="1:16" x14ac:dyDescent="0.3">
      <c r="A13" s="249"/>
      <c r="B13" s="277"/>
      <c r="C13" s="265"/>
      <c r="D13" s="267"/>
      <c r="E13" s="267"/>
      <c r="F13" s="36"/>
      <c r="G13" s="36"/>
      <c r="H13" s="36"/>
      <c r="I13" s="36"/>
      <c r="J13" s="36"/>
      <c r="K13" s="36"/>
      <c r="L13" s="34">
        <f t="shared" ref="L13:L16" si="2">SUM(H13:K13)</f>
        <v>0</v>
      </c>
      <c r="M13" s="249"/>
      <c r="N13" s="36"/>
      <c r="O13" s="73"/>
      <c r="P13" s="36"/>
    </row>
    <row r="14" spans="1:16" x14ac:dyDescent="0.3">
      <c r="A14" s="249"/>
      <c r="B14" s="277"/>
      <c r="C14" s="265"/>
      <c r="D14" s="267"/>
      <c r="E14" s="267"/>
      <c r="F14" s="31"/>
      <c r="G14" s="36"/>
      <c r="H14" s="36"/>
      <c r="I14" s="36"/>
      <c r="J14" s="36"/>
      <c r="K14" s="36"/>
      <c r="L14" s="34">
        <f t="shared" si="2"/>
        <v>0</v>
      </c>
      <c r="M14" s="249"/>
      <c r="N14" s="36"/>
      <c r="O14" s="81"/>
      <c r="P14" s="36"/>
    </row>
    <row r="15" spans="1:16" x14ac:dyDescent="0.3">
      <c r="A15" s="249"/>
      <c r="B15" s="277"/>
      <c r="C15" s="265"/>
      <c r="D15" s="267"/>
      <c r="E15" s="267"/>
      <c r="F15" s="36"/>
      <c r="G15" s="36"/>
      <c r="H15" s="36"/>
      <c r="I15" s="36"/>
      <c r="J15" s="36"/>
      <c r="K15" s="36"/>
      <c r="L15" s="34">
        <f t="shared" si="2"/>
        <v>0</v>
      </c>
      <c r="M15" s="249"/>
      <c r="N15" s="36"/>
      <c r="O15" s="73"/>
      <c r="P15" s="36"/>
    </row>
    <row r="16" spans="1:16" ht="15" thickBot="1" x14ac:dyDescent="0.35">
      <c r="A16" s="249"/>
      <c r="B16" s="277"/>
      <c r="C16" s="265"/>
      <c r="D16" s="267"/>
      <c r="E16" s="267"/>
      <c r="F16" s="41"/>
      <c r="G16" s="41"/>
      <c r="H16" s="41"/>
      <c r="I16" s="41"/>
      <c r="J16" s="41"/>
      <c r="K16" s="41"/>
      <c r="L16" s="34">
        <f t="shared" si="2"/>
        <v>0</v>
      </c>
      <c r="M16" s="250"/>
      <c r="N16" s="41"/>
      <c r="O16" s="93"/>
      <c r="P16" s="41"/>
    </row>
    <row r="17" spans="1:16" ht="15.6" thickTop="1" thickBot="1" x14ac:dyDescent="0.35">
      <c r="A17" s="250"/>
      <c r="B17" s="278"/>
      <c r="C17" s="266"/>
      <c r="D17" s="268"/>
      <c r="E17" s="268"/>
      <c r="F17" s="251"/>
      <c r="G17" s="252"/>
      <c r="H17" s="14">
        <f t="shared" ref="H17:L17" si="3">SUM(H12:H16)</f>
        <v>500</v>
      </c>
      <c r="I17" s="14">
        <f t="shared" si="3"/>
        <v>14000</v>
      </c>
      <c r="J17" s="14">
        <f t="shared" si="3"/>
        <v>3000</v>
      </c>
      <c r="K17" s="14">
        <f t="shared" si="3"/>
        <v>0</v>
      </c>
      <c r="L17" s="14">
        <f t="shared" si="3"/>
        <v>17500</v>
      </c>
      <c r="M17" s="14"/>
      <c r="N17" s="14">
        <f>M12-L17</f>
        <v>0</v>
      </c>
      <c r="O17" s="111"/>
      <c r="P17" s="14">
        <f t="shared" ref="P17" si="4">SUM(P12:P16)</f>
        <v>1500</v>
      </c>
    </row>
    <row r="18" spans="1:16" ht="15" thickTop="1" x14ac:dyDescent="0.3">
      <c r="A18" s="282">
        <f>A12+1</f>
        <v>3</v>
      </c>
      <c r="B18" s="253" t="s">
        <v>378</v>
      </c>
      <c r="C18" s="256" t="s">
        <v>362</v>
      </c>
      <c r="D18" s="256" t="s">
        <v>379</v>
      </c>
      <c r="E18" s="292" t="s">
        <v>380</v>
      </c>
      <c r="F18" s="15">
        <v>6789</v>
      </c>
      <c r="G18" s="179" t="s">
        <v>381</v>
      </c>
      <c r="H18" s="15">
        <v>500</v>
      </c>
      <c r="I18" s="15">
        <v>4500</v>
      </c>
      <c r="J18" s="15"/>
      <c r="K18" s="15"/>
      <c r="L18" s="20">
        <f>SUM(H18:K18)</f>
        <v>5000</v>
      </c>
      <c r="M18" s="246">
        <v>17500</v>
      </c>
      <c r="N18" s="16"/>
      <c r="O18" s="86" t="s">
        <v>295</v>
      </c>
      <c r="P18" s="15"/>
    </row>
    <row r="19" spans="1:16" ht="18" x14ac:dyDescent="0.35">
      <c r="A19" s="246"/>
      <c r="B19" s="254"/>
      <c r="C19" s="257"/>
      <c r="D19" s="257"/>
      <c r="E19" s="287"/>
      <c r="F19" s="16"/>
      <c r="G19" s="16"/>
      <c r="H19" s="16"/>
      <c r="I19" s="16"/>
      <c r="J19" s="16"/>
      <c r="K19" s="16"/>
      <c r="L19" s="20">
        <f t="shared" ref="L19:L22" si="5">SUM(H19:K19)</f>
        <v>0</v>
      </c>
      <c r="M19" s="246"/>
      <c r="N19" s="16"/>
      <c r="O19" s="180"/>
      <c r="P19" s="16"/>
    </row>
    <row r="20" spans="1:16" ht="18" x14ac:dyDescent="0.35">
      <c r="A20" s="246"/>
      <c r="B20" s="254"/>
      <c r="C20" s="257"/>
      <c r="D20" s="257"/>
      <c r="E20" s="287"/>
      <c r="F20" s="16"/>
      <c r="G20" s="16"/>
      <c r="H20" s="16"/>
      <c r="I20" s="16"/>
      <c r="J20" s="16"/>
      <c r="K20" s="16"/>
      <c r="L20" s="20">
        <f t="shared" si="5"/>
        <v>0</v>
      </c>
      <c r="M20" s="246"/>
      <c r="N20" s="16"/>
      <c r="O20" s="180"/>
      <c r="P20" s="16"/>
    </row>
    <row r="21" spans="1:16" x14ac:dyDescent="0.3">
      <c r="A21" s="246"/>
      <c r="B21" s="254"/>
      <c r="C21" s="257"/>
      <c r="D21" s="257"/>
      <c r="E21" s="287"/>
      <c r="F21" s="16"/>
      <c r="G21" s="16"/>
      <c r="H21" s="16"/>
      <c r="I21" s="16"/>
      <c r="J21" s="16"/>
      <c r="K21" s="16"/>
      <c r="L21" s="20">
        <f t="shared" si="5"/>
        <v>0</v>
      </c>
      <c r="M21" s="246"/>
      <c r="N21" s="16"/>
      <c r="O21" s="72"/>
      <c r="P21" s="16"/>
    </row>
    <row r="22" spans="1:16" ht="15" thickBot="1" x14ac:dyDescent="0.35">
      <c r="A22" s="246"/>
      <c r="B22" s="254"/>
      <c r="C22" s="257"/>
      <c r="D22" s="257"/>
      <c r="E22" s="287"/>
      <c r="F22" s="17"/>
      <c r="G22" s="17"/>
      <c r="H22" s="17"/>
      <c r="I22" s="17"/>
      <c r="J22" s="17"/>
      <c r="K22" s="17"/>
      <c r="L22" s="20">
        <f t="shared" si="5"/>
        <v>0</v>
      </c>
      <c r="M22" s="247"/>
      <c r="N22" s="17"/>
      <c r="O22" s="82"/>
      <c r="P22" s="17"/>
    </row>
    <row r="23" spans="1:16" ht="15.6" thickTop="1" thickBot="1" x14ac:dyDescent="0.35">
      <c r="A23" s="247"/>
      <c r="B23" s="255"/>
      <c r="C23" s="258"/>
      <c r="D23" s="258"/>
      <c r="E23" s="288"/>
      <c r="F23" s="243"/>
      <c r="G23" s="244"/>
      <c r="H23" s="8">
        <f t="shared" ref="H23:L23" si="6">SUM(H18:H22)</f>
        <v>500</v>
      </c>
      <c r="I23" s="8">
        <f t="shared" si="6"/>
        <v>4500</v>
      </c>
      <c r="J23" s="8">
        <f t="shared" si="6"/>
        <v>0</v>
      </c>
      <c r="K23" s="8">
        <f t="shared" si="6"/>
        <v>0</v>
      </c>
      <c r="L23" s="8">
        <f t="shared" si="6"/>
        <v>5000</v>
      </c>
      <c r="M23" s="8"/>
      <c r="N23" s="8">
        <f>M18-L23</f>
        <v>12500</v>
      </c>
      <c r="O23" s="100"/>
      <c r="P23" s="8">
        <f t="shared" ref="P23" si="7">SUM(P18:P22)</f>
        <v>0</v>
      </c>
    </row>
    <row r="24" spans="1:16" ht="15" thickTop="1" x14ac:dyDescent="0.3">
      <c r="A24" s="282">
        <f t="shared" ref="A24" si="8">A18+1</f>
        <v>4</v>
      </c>
      <c r="B24" s="283" t="s">
        <v>621</v>
      </c>
      <c r="C24" s="286" t="s">
        <v>915</v>
      </c>
      <c r="D24" s="286" t="s">
        <v>618</v>
      </c>
      <c r="E24" s="292" t="s">
        <v>619</v>
      </c>
      <c r="F24" s="15">
        <v>6825</v>
      </c>
      <c r="G24" s="28" t="s">
        <v>622</v>
      </c>
      <c r="H24" s="30">
        <v>500</v>
      </c>
      <c r="I24" s="30">
        <v>11000</v>
      </c>
      <c r="J24" s="30">
        <v>3000</v>
      </c>
      <c r="K24" s="30"/>
      <c r="L24" s="30">
        <f>SUM(H24:K24)</f>
        <v>14500</v>
      </c>
      <c r="M24" s="246">
        <v>17500</v>
      </c>
      <c r="N24" s="30"/>
      <c r="O24" s="91"/>
      <c r="P24" s="30">
        <v>1500</v>
      </c>
    </row>
    <row r="25" spans="1:16" x14ac:dyDescent="0.3">
      <c r="A25" s="246"/>
      <c r="B25" s="284"/>
      <c r="C25" s="287"/>
      <c r="D25" s="287"/>
      <c r="E25" s="287"/>
      <c r="F25" s="16"/>
      <c r="G25" s="16"/>
      <c r="H25" s="16"/>
      <c r="I25" s="16"/>
      <c r="J25" s="16"/>
      <c r="K25" s="16"/>
      <c r="L25" s="30">
        <f t="shared" ref="L25:L28" si="9">SUM(H25:K25)</f>
        <v>0</v>
      </c>
      <c r="M25" s="246"/>
      <c r="N25" s="16"/>
      <c r="O25" s="72"/>
      <c r="P25" s="16"/>
    </row>
    <row r="26" spans="1:16" x14ac:dyDescent="0.3">
      <c r="A26" s="246"/>
      <c r="B26" s="284"/>
      <c r="C26" s="287"/>
      <c r="D26" s="287"/>
      <c r="E26" s="287"/>
      <c r="F26" s="16"/>
      <c r="G26" s="16"/>
      <c r="H26" s="16"/>
      <c r="I26" s="16"/>
      <c r="J26" s="16"/>
      <c r="K26" s="16"/>
      <c r="L26" s="30">
        <f t="shared" si="9"/>
        <v>0</v>
      </c>
      <c r="M26" s="246"/>
      <c r="N26" s="16"/>
      <c r="O26" s="82"/>
      <c r="P26" s="16"/>
    </row>
    <row r="27" spans="1:16" x14ac:dyDescent="0.3">
      <c r="A27" s="246"/>
      <c r="B27" s="284"/>
      <c r="C27" s="287"/>
      <c r="D27" s="287"/>
      <c r="E27" s="287"/>
      <c r="F27" s="16"/>
      <c r="G27" s="16"/>
      <c r="H27" s="16"/>
      <c r="I27" s="16"/>
      <c r="J27" s="16"/>
      <c r="K27" s="16"/>
      <c r="L27" s="30">
        <f t="shared" si="9"/>
        <v>0</v>
      </c>
      <c r="M27" s="246"/>
      <c r="N27" s="16"/>
      <c r="O27" s="72"/>
      <c r="P27" s="16"/>
    </row>
    <row r="28" spans="1:16" ht="15" thickBot="1" x14ac:dyDescent="0.35">
      <c r="A28" s="246"/>
      <c r="B28" s="284"/>
      <c r="C28" s="287"/>
      <c r="D28" s="287"/>
      <c r="E28" s="287"/>
      <c r="F28" s="17"/>
      <c r="G28" s="17"/>
      <c r="H28" s="17"/>
      <c r="I28" s="17"/>
      <c r="J28" s="17"/>
      <c r="K28" s="17"/>
      <c r="L28" s="30">
        <f t="shared" si="9"/>
        <v>0</v>
      </c>
      <c r="M28" s="247"/>
      <c r="N28" s="17"/>
      <c r="O28" s="90"/>
      <c r="P28" s="17"/>
    </row>
    <row r="29" spans="1:16" ht="15.6" thickTop="1" thickBot="1" x14ac:dyDescent="0.35">
      <c r="A29" s="247"/>
      <c r="B29" s="285"/>
      <c r="C29" s="288"/>
      <c r="D29" s="288"/>
      <c r="E29" s="288"/>
      <c r="F29" s="243"/>
      <c r="G29" s="244"/>
      <c r="H29" s="8">
        <f t="shared" ref="H29:K29" si="10">SUM(H24:H28)</f>
        <v>500</v>
      </c>
      <c r="I29" s="8">
        <f t="shared" si="10"/>
        <v>11000</v>
      </c>
      <c r="J29" s="8">
        <f t="shared" si="10"/>
        <v>3000</v>
      </c>
      <c r="K29" s="8">
        <f t="shared" si="10"/>
        <v>0</v>
      </c>
      <c r="L29" s="8">
        <f>SUM(L24:L28)</f>
        <v>14500</v>
      </c>
      <c r="M29" s="8"/>
      <c r="N29" s="8">
        <f>M24-L29</f>
        <v>3000</v>
      </c>
      <c r="O29" s="100"/>
      <c r="P29" s="207">
        <f>SUM(P24:P28)</f>
        <v>1500</v>
      </c>
    </row>
    <row r="30" spans="1:16" ht="15" thickTop="1" x14ac:dyDescent="0.3">
      <c r="A30" s="260">
        <v>5</v>
      </c>
      <c r="B30" s="279" t="s">
        <v>673</v>
      </c>
      <c r="C30" s="280" t="s">
        <v>217</v>
      </c>
      <c r="D30" s="280" t="s">
        <v>674</v>
      </c>
      <c r="E30" s="281" t="s">
        <v>676</v>
      </c>
      <c r="F30" s="39">
        <v>6877</v>
      </c>
      <c r="G30" s="47" t="s">
        <v>675</v>
      </c>
      <c r="H30" s="39">
        <v>500</v>
      </c>
      <c r="I30" s="39">
        <v>14000</v>
      </c>
      <c r="J30" s="39">
        <v>3000</v>
      </c>
      <c r="K30" s="39"/>
      <c r="L30" s="34">
        <f>SUM(H30:K30)</f>
        <v>17500</v>
      </c>
      <c r="M30" s="249">
        <v>17500</v>
      </c>
      <c r="N30" s="36"/>
      <c r="O30" s="94"/>
      <c r="P30" s="39">
        <v>1500</v>
      </c>
    </row>
    <row r="31" spans="1:16" x14ac:dyDescent="0.3">
      <c r="A31" s="249"/>
      <c r="B31" s="277"/>
      <c r="C31" s="267"/>
      <c r="D31" s="267"/>
      <c r="E31" s="267"/>
      <c r="F31" s="31"/>
      <c r="G31" s="36"/>
      <c r="H31" s="36"/>
      <c r="I31" s="36"/>
      <c r="J31" s="36"/>
      <c r="K31" s="36"/>
      <c r="L31" s="34">
        <f t="shared" ref="L31:L34" si="11">SUM(H31:K31)</f>
        <v>0</v>
      </c>
      <c r="M31" s="249"/>
      <c r="N31" s="36"/>
      <c r="O31" s="73"/>
      <c r="P31" s="36"/>
    </row>
    <row r="32" spans="1:16" x14ac:dyDescent="0.3">
      <c r="A32" s="249"/>
      <c r="B32" s="277"/>
      <c r="C32" s="267"/>
      <c r="D32" s="267"/>
      <c r="E32" s="267"/>
      <c r="F32" s="36"/>
      <c r="G32" s="36"/>
      <c r="H32" s="36"/>
      <c r="I32" s="36"/>
      <c r="J32" s="36"/>
      <c r="K32" s="36"/>
      <c r="L32" s="34">
        <f t="shared" si="11"/>
        <v>0</v>
      </c>
      <c r="M32" s="249"/>
      <c r="N32" s="36"/>
      <c r="O32" s="81"/>
      <c r="P32" s="36"/>
    </row>
    <row r="33" spans="1:16" x14ac:dyDescent="0.3">
      <c r="A33" s="249"/>
      <c r="B33" s="277"/>
      <c r="C33" s="267"/>
      <c r="D33" s="267"/>
      <c r="E33" s="267"/>
      <c r="F33" s="36"/>
      <c r="G33" s="36"/>
      <c r="H33" s="36"/>
      <c r="I33" s="36"/>
      <c r="J33" s="36"/>
      <c r="K33" s="36"/>
      <c r="L33" s="34">
        <f t="shared" si="11"/>
        <v>0</v>
      </c>
      <c r="M33" s="249"/>
      <c r="N33" s="36"/>
      <c r="O33" s="73"/>
      <c r="P33" s="36"/>
    </row>
    <row r="34" spans="1:16" ht="15" thickBot="1" x14ac:dyDescent="0.35">
      <c r="A34" s="249"/>
      <c r="B34" s="277"/>
      <c r="C34" s="267"/>
      <c r="D34" s="267"/>
      <c r="E34" s="267"/>
      <c r="F34" s="41"/>
      <c r="G34" s="41"/>
      <c r="H34" s="41"/>
      <c r="I34" s="41"/>
      <c r="J34" s="41"/>
      <c r="K34" s="41"/>
      <c r="L34" s="34">
        <f t="shared" si="11"/>
        <v>0</v>
      </c>
      <c r="M34" s="250"/>
      <c r="N34" s="41"/>
      <c r="O34" s="93"/>
      <c r="P34" s="41"/>
    </row>
    <row r="35" spans="1:16" ht="15.6" thickTop="1" thickBot="1" x14ac:dyDescent="0.35">
      <c r="A35" s="250"/>
      <c r="B35" s="278"/>
      <c r="C35" s="268"/>
      <c r="D35" s="268"/>
      <c r="E35" s="268"/>
      <c r="F35" s="251"/>
      <c r="G35" s="252"/>
      <c r="H35" s="14">
        <f t="shared" ref="H35:L35" si="12">SUM(H30:H34)</f>
        <v>500</v>
      </c>
      <c r="I35" s="14">
        <f t="shared" si="12"/>
        <v>14000</v>
      </c>
      <c r="J35" s="14">
        <f t="shared" si="12"/>
        <v>3000</v>
      </c>
      <c r="K35" s="14">
        <f t="shared" si="12"/>
        <v>0</v>
      </c>
      <c r="L35" s="14">
        <f t="shared" si="12"/>
        <v>17500</v>
      </c>
      <c r="M35" s="14"/>
      <c r="N35" s="14">
        <f>M30-L35</f>
        <v>0</v>
      </c>
      <c r="O35" s="111"/>
      <c r="P35" s="14">
        <f t="shared" ref="P35" si="13">SUM(P30:P34)</f>
        <v>1500</v>
      </c>
    </row>
    <row r="36" spans="1:16" ht="15" thickTop="1" x14ac:dyDescent="0.3">
      <c r="A36" s="248">
        <f t="shared" ref="A36" si="14">A30+1</f>
        <v>6</v>
      </c>
      <c r="B36" s="254" t="s">
        <v>677</v>
      </c>
      <c r="C36" s="286" t="s">
        <v>678</v>
      </c>
      <c r="D36" s="257" t="s">
        <v>679</v>
      </c>
      <c r="E36" s="270" t="s">
        <v>238</v>
      </c>
      <c r="F36" s="3">
        <v>6879</v>
      </c>
      <c r="G36" s="29" t="s">
        <v>544</v>
      </c>
      <c r="H36" s="3">
        <v>500</v>
      </c>
      <c r="I36" s="3">
        <v>6500</v>
      </c>
      <c r="J36" s="3">
        <v>3000</v>
      </c>
      <c r="K36" s="3"/>
      <c r="L36" s="20">
        <f>SUM(H36:K36)</f>
        <v>10000</v>
      </c>
      <c r="M36" s="241">
        <v>17500</v>
      </c>
      <c r="N36" s="4"/>
      <c r="O36" s="86" t="s">
        <v>295</v>
      </c>
      <c r="P36" s="3"/>
    </row>
    <row r="37" spans="1:16" x14ac:dyDescent="0.3">
      <c r="A37" s="241"/>
      <c r="B37" s="254"/>
      <c r="C37" s="287"/>
      <c r="D37" s="257"/>
      <c r="E37" s="257"/>
      <c r="F37" s="16"/>
      <c r="G37" s="4"/>
      <c r="H37" s="4"/>
      <c r="I37" s="4"/>
      <c r="J37" s="4"/>
      <c r="K37" s="4"/>
      <c r="L37" s="20">
        <f t="shared" ref="L37:L40" si="15">SUM(H37:K37)</f>
        <v>0</v>
      </c>
      <c r="M37" s="241"/>
      <c r="N37" s="4"/>
      <c r="O37" s="71"/>
      <c r="P37" s="4"/>
    </row>
    <row r="38" spans="1:16" x14ac:dyDescent="0.3">
      <c r="A38" s="241"/>
      <c r="B38" s="254"/>
      <c r="C38" s="287"/>
      <c r="D38" s="257"/>
      <c r="E38" s="257"/>
      <c r="F38" s="4"/>
      <c r="G38" s="4"/>
      <c r="H38" s="4"/>
      <c r="I38" s="4"/>
      <c r="J38" s="4"/>
      <c r="K38" s="4"/>
      <c r="L38" s="20">
        <f t="shared" si="15"/>
        <v>0</v>
      </c>
      <c r="M38" s="241"/>
      <c r="N38" s="4"/>
      <c r="O38" s="78"/>
      <c r="P38" s="4"/>
    </row>
    <row r="39" spans="1:16" x14ac:dyDescent="0.3">
      <c r="A39" s="241"/>
      <c r="B39" s="254"/>
      <c r="C39" s="287"/>
      <c r="D39" s="257"/>
      <c r="E39" s="257"/>
      <c r="F39" s="4"/>
      <c r="G39" s="4"/>
      <c r="H39" s="4"/>
      <c r="I39" s="4"/>
      <c r="J39" s="4"/>
      <c r="K39" s="4"/>
      <c r="L39" s="20">
        <f t="shared" si="15"/>
        <v>0</v>
      </c>
      <c r="M39" s="241"/>
      <c r="N39" s="4"/>
      <c r="O39" s="71"/>
      <c r="P39" s="4"/>
    </row>
    <row r="40" spans="1:16" ht="15" thickBot="1" x14ac:dyDescent="0.35">
      <c r="A40" s="241"/>
      <c r="B40" s="254"/>
      <c r="C40" s="287"/>
      <c r="D40" s="257"/>
      <c r="E40" s="257"/>
      <c r="F40" s="6"/>
      <c r="G40" s="6"/>
      <c r="H40" s="6"/>
      <c r="I40" s="6"/>
      <c r="J40" s="6"/>
      <c r="K40" s="6"/>
      <c r="L40" s="20">
        <f t="shared" si="15"/>
        <v>0</v>
      </c>
      <c r="M40" s="242"/>
      <c r="N40" s="6"/>
      <c r="O40" s="87"/>
      <c r="P40" s="6"/>
    </row>
    <row r="41" spans="1:16" ht="15.6" thickTop="1" thickBot="1" x14ac:dyDescent="0.35">
      <c r="A41" s="242"/>
      <c r="B41" s="255"/>
      <c r="C41" s="288"/>
      <c r="D41" s="258"/>
      <c r="E41" s="258"/>
      <c r="F41" s="243"/>
      <c r="G41" s="244"/>
      <c r="H41" s="8">
        <f t="shared" ref="H41:L41" si="16">SUM(H36:H40)</f>
        <v>500</v>
      </c>
      <c r="I41" s="8">
        <f t="shared" si="16"/>
        <v>6500</v>
      </c>
      <c r="J41" s="8">
        <f t="shared" si="16"/>
        <v>3000</v>
      </c>
      <c r="K41" s="8">
        <f t="shared" si="16"/>
        <v>0</v>
      </c>
      <c r="L41" s="8">
        <f t="shared" si="16"/>
        <v>10000</v>
      </c>
      <c r="M41" s="8"/>
      <c r="N41" s="8">
        <f>M36-L41</f>
        <v>7500</v>
      </c>
      <c r="O41" s="100"/>
      <c r="P41" s="8">
        <f t="shared" ref="P41" si="17">SUM(P36:P40)</f>
        <v>0</v>
      </c>
    </row>
    <row r="42" spans="1:16" ht="15.75" customHeight="1" thickTop="1" x14ac:dyDescent="0.3">
      <c r="A42" s="260">
        <f t="shared" ref="A42" si="18">A36+1</f>
        <v>7</v>
      </c>
      <c r="B42" s="279" t="s">
        <v>685</v>
      </c>
      <c r="C42" s="280" t="s">
        <v>297</v>
      </c>
      <c r="D42" s="280" t="s">
        <v>687</v>
      </c>
      <c r="E42" s="281" t="s">
        <v>686</v>
      </c>
      <c r="F42" s="39">
        <v>6885</v>
      </c>
      <c r="G42" s="47" t="s">
        <v>683</v>
      </c>
      <c r="H42" s="39">
        <v>500</v>
      </c>
      <c r="I42" s="39">
        <v>14000</v>
      </c>
      <c r="J42" s="39">
        <v>3000</v>
      </c>
      <c r="K42" s="39"/>
      <c r="L42" s="34">
        <f>SUM(H42:K42)</f>
        <v>17500</v>
      </c>
      <c r="M42" s="249">
        <v>17500</v>
      </c>
      <c r="N42" s="36"/>
      <c r="O42" s="94" t="s">
        <v>240</v>
      </c>
      <c r="P42" s="39">
        <v>1500</v>
      </c>
    </row>
    <row r="43" spans="1:16" x14ac:dyDescent="0.3">
      <c r="A43" s="249"/>
      <c r="B43" s="277"/>
      <c r="C43" s="267"/>
      <c r="D43" s="267"/>
      <c r="E43" s="267"/>
      <c r="F43" s="31"/>
      <c r="G43" s="36"/>
      <c r="H43" s="36"/>
      <c r="I43" s="36"/>
      <c r="J43" s="36"/>
      <c r="K43" s="36"/>
      <c r="L43" s="34">
        <f t="shared" ref="L43:L46" si="19">SUM(H43:K43)</f>
        <v>0</v>
      </c>
      <c r="M43" s="249"/>
      <c r="N43" s="36"/>
      <c r="O43" s="73"/>
      <c r="P43" s="36"/>
    </row>
    <row r="44" spans="1:16" x14ac:dyDescent="0.3">
      <c r="A44" s="249"/>
      <c r="B44" s="277"/>
      <c r="C44" s="267"/>
      <c r="D44" s="267"/>
      <c r="E44" s="267"/>
      <c r="F44" s="36"/>
      <c r="G44" s="36"/>
      <c r="H44" s="36"/>
      <c r="I44" s="36"/>
      <c r="J44" s="36"/>
      <c r="K44" s="36"/>
      <c r="L44" s="34">
        <f t="shared" si="19"/>
        <v>0</v>
      </c>
      <c r="M44" s="249"/>
      <c r="N44" s="36"/>
      <c r="O44" s="81"/>
      <c r="P44" s="36"/>
    </row>
    <row r="45" spans="1:16" x14ac:dyDescent="0.3">
      <c r="A45" s="249"/>
      <c r="B45" s="277"/>
      <c r="C45" s="267"/>
      <c r="D45" s="267"/>
      <c r="E45" s="267"/>
      <c r="F45" s="36"/>
      <c r="G45" s="36"/>
      <c r="H45" s="36"/>
      <c r="I45" s="36"/>
      <c r="J45" s="36"/>
      <c r="K45" s="36"/>
      <c r="L45" s="34">
        <f t="shared" si="19"/>
        <v>0</v>
      </c>
      <c r="M45" s="249"/>
      <c r="N45" s="36"/>
      <c r="O45" s="73"/>
      <c r="P45" s="36"/>
    </row>
    <row r="46" spans="1:16" ht="15" thickBot="1" x14ac:dyDescent="0.35">
      <c r="A46" s="249"/>
      <c r="B46" s="277"/>
      <c r="C46" s="267"/>
      <c r="D46" s="267"/>
      <c r="E46" s="267"/>
      <c r="F46" s="41"/>
      <c r="G46" s="41"/>
      <c r="H46" s="41"/>
      <c r="I46" s="41"/>
      <c r="J46" s="41"/>
      <c r="K46" s="41"/>
      <c r="L46" s="34">
        <f t="shared" si="19"/>
        <v>0</v>
      </c>
      <c r="M46" s="250"/>
      <c r="N46" s="41"/>
      <c r="O46" s="93"/>
      <c r="P46" s="41"/>
    </row>
    <row r="47" spans="1:16" ht="15.6" thickTop="1" thickBot="1" x14ac:dyDescent="0.35">
      <c r="A47" s="250"/>
      <c r="B47" s="278"/>
      <c r="C47" s="268"/>
      <c r="D47" s="268"/>
      <c r="E47" s="268"/>
      <c r="F47" s="251"/>
      <c r="G47" s="252"/>
      <c r="H47" s="14">
        <f t="shared" ref="H47:L47" si="20">SUM(H42:H46)</f>
        <v>500</v>
      </c>
      <c r="I47" s="14">
        <f t="shared" si="20"/>
        <v>14000</v>
      </c>
      <c r="J47" s="14">
        <f t="shared" si="20"/>
        <v>3000</v>
      </c>
      <c r="K47" s="14">
        <f t="shared" si="20"/>
        <v>0</v>
      </c>
      <c r="L47" s="14">
        <f t="shared" si="20"/>
        <v>17500</v>
      </c>
      <c r="M47" s="14"/>
      <c r="N47" s="14">
        <f>M42-L47</f>
        <v>0</v>
      </c>
      <c r="O47" s="111"/>
      <c r="P47" s="14">
        <f t="shared" ref="P47" si="21">SUM(P42:P46)</f>
        <v>1500</v>
      </c>
    </row>
    <row r="48" spans="1:16" ht="15.75" customHeight="1" thickTop="1" x14ac:dyDescent="0.3">
      <c r="A48" s="248">
        <f t="shared" ref="A48" si="22">A42+1</f>
        <v>8</v>
      </c>
      <c r="B48" s="283" t="s">
        <v>692</v>
      </c>
      <c r="C48" s="286" t="s">
        <v>693</v>
      </c>
      <c r="D48" s="256" t="s">
        <v>624</v>
      </c>
      <c r="E48" s="259" t="s">
        <v>694</v>
      </c>
      <c r="F48" s="3">
        <v>6891</v>
      </c>
      <c r="G48" s="29" t="s">
        <v>508</v>
      </c>
      <c r="H48" s="3">
        <v>500</v>
      </c>
      <c r="I48" s="3">
        <v>5500</v>
      </c>
      <c r="J48" s="3">
        <v>3000</v>
      </c>
      <c r="K48" s="3"/>
      <c r="L48" s="20">
        <f>SUM(H48:K48)</f>
        <v>9000</v>
      </c>
      <c r="M48" s="241">
        <v>17500</v>
      </c>
      <c r="N48" s="4"/>
      <c r="O48" s="86" t="s">
        <v>295</v>
      </c>
      <c r="P48" s="3"/>
    </row>
    <row r="49" spans="1:16" x14ac:dyDescent="0.3">
      <c r="A49" s="241"/>
      <c r="B49" s="284"/>
      <c r="C49" s="287"/>
      <c r="D49" s="257"/>
      <c r="E49" s="257"/>
      <c r="F49" s="16"/>
      <c r="G49" s="4"/>
      <c r="H49" s="4"/>
      <c r="I49" s="4"/>
      <c r="J49" s="4"/>
      <c r="K49" s="4"/>
      <c r="L49" s="20">
        <f t="shared" ref="L49:L52" si="23">SUM(H49:K49)</f>
        <v>0</v>
      </c>
      <c r="M49" s="241"/>
      <c r="N49" s="4"/>
      <c r="O49" s="71"/>
      <c r="P49" s="4"/>
    </row>
    <row r="50" spans="1:16" x14ac:dyDescent="0.3">
      <c r="A50" s="241"/>
      <c r="B50" s="284"/>
      <c r="C50" s="287"/>
      <c r="D50" s="257"/>
      <c r="E50" s="257"/>
      <c r="F50" s="4"/>
      <c r="G50" s="4"/>
      <c r="H50" s="4"/>
      <c r="I50" s="4"/>
      <c r="J50" s="4"/>
      <c r="K50" s="4"/>
      <c r="L50" s="20">
        <f t="shared" si="23"/>
        <v>0</v>
      </c>
      <c r="M50" s="241"/>
      <c r="N50" s="4"/>
      <c r="O50" s="78"/>
      <c r="P50" s="4"/>
    </row>
    <row r="51" spans="1:16" x14ac:dyDescent="0.3">
      <c r="A51" s="241"/>
      <c r="B51" s="284"/>
      <c r="C51" s="287"/>
      <c r="D51" s="257"/>
      <c r="E51" s="257"/>
      <c r="F51" s="4"/>
      <c r="G51" s="4"/>
      <c r="H51" s="4"/>
      <c r="I51" s="4"/>
      <c r="J51" s="4"/>
      <c r="K51" s="4"/>
      <c r="L51" s="20">
        <f t="shared" si="23"/>
        <v>0</v>
      </c>
      <c r="M51" s="241"/>
      <c r="N51" s="4"/>
      <c r="O51" s="71"/>
      <c r="P51" s="4"/>
    </row>
    <row r="52" spans="1:16" ht="15" thickBot="1" x14ac:dyDescent="0.35">
      <c r="A52" s="241"/>
      <c r="B52" s="284"/>
      <c r="C52" s="287"/>
      <c r="D52" s="257"/>
      <c r="E52" s="257"/>
      <c r="F52" s="6"/>
      <c r="G52" s="6"/>
      <c r="H52" s="6"/>
      <c r="I52" s="6"/>
      <c r="J52" s="6"/>
      <c r="K52" s="6"/>
      <c r="L52" s="20">
        <f t="shared" si="23"/>
        <v>0</v>
      </c>
      <c r="M52" s="242"/>
      <c r="N52" s="6"/>
      <c r="O52" s="87"/>
      <c r="P52" s="6"/>
    </row>
    <row r="53" spans="1:16" ht="15.6" thickTop="1" thickBot="1" x14ac:dyDescent="0.35">
      <c r="A53" s="242"/>
      <c r="B53" s="285"/>
      <c r="C53" s="288"/>
      <c r="D53" s="258"/>
      <c r="E53" s="258"/>
      <c r="F53" s="243"/>
      <c r="G53" s="244"/>
      <c r="H53" s="8">
        <f t="shared" ref="H53:L53" si="24">SUM(H48:H52)</f>
        <v>500</v>
      </c>
      <c r="I53" s="8">
        <f t="shared" si="24"/>
        <v>5500</v>
      </c>
      <c r="J53" s="8">
        <f t="shared" si="24"/>
        <v>3000</v>
      </c>
      <c r="K53" s="8">
        <f t="shared" si="24"/>
        <v>0</v>
      </c>
      <c r="L53" s="8">
        <f t="shared" si="24"/>
        <v>9000</v>
      </c>
      <c r="M53" s="8"/>
      <c r="N53" s="8">
        <f>M48-L53</f>
        <v>8500</v>
      </c>
      <c r="O53" s="100"/>
      <c r="P53" s="8">
        <f t="shared" ref="P53" si="25">SUM(P48:P52)</f>
        <v>0</v>
      </c>
    </row>
    <row r="54" spans="1:16" ht="15.75" customHeight="1" thickTop="1" x14ac:dyDescent="0.3">
      <c r="A54" s="260">
        <f t="shared" ref="A54" si="26">A48+1</f>
        <v>9</v>
      </c>
      <c r="B54" s="261" t="s">
        <v>708</v>
      </c>
      <c r="C54" s="264" t="s">
        <v>217</v>
      </c>
      <c r="D54" s="267" t="s">
        <v>709</v>
      </c>
      <c r="E54" s="269" t="s">
        <v>456</v>
      </c>
      <c r="F54" s="39">
        <v>6916</v>
      </c>
      <c r="G54" s="47" t="s">
        <v>525</v>
      </c>
      <c r="H54" s="39">
        <v>500</v>
      </c>
      <c r="I54" s="39">
        <v>14000</v>
      </c>
      <c r="J54" s="39">
        <v>3000</v>
      </c>
      <c r="K54" s="39"/>
      <c r="L54" s="34">
        <f>SUM(H54:K54)</f>
        <v>17500</v>
      </c>
      <c r="M54" s="249">
        <v>17500</v>
      </c>
      <c r="N54" s="36"/>
      <c r="O54" s="94" t="s">
        <v>295</v>
      </c>
      <c r="P54" s="39"/>
    </row>
    <row r="55" spans="1:16" x14ac:dyDescent="0.3">
      <c r="A55" s="249"/>
      <c r="B55" s="262"/>
      <c r="C55" s="265"/>
      <c r="D55" s="267"/>
      <c r="E55" s="265"/>
      <c r="F55" s="31"/>
      <c r="G55" s="36"/>
      <c r="H55" s="36"/>
      <c r="I55" s="36"/>
      <c r="J55" s="36"/>
      <c r="K55" s="36"/>
      <c r="L55" s="34">
        <f t="shared" ref="L55:L58" si="27">SUM(H55:K55)</f>
        <v>0</v>
      </c>
      <c r="M55" s="249"/>
      <c r="N55" s="36"/>
      <c r="O55" s="73"/>
      <c r="P55" s="36"/>
    </row>
    <row r="56" spans="1:16" x14ac:dyDescent="0.3">
      <c r="A56" s="249"/>
      <c r="B56" s="262"/>
      <c r="C56" s="265"/>
      <c r="D56" s="267"/>
      <c r="E56" s="265"/>
      <c r="F56" s="36"/>
      <c r="G56" s="36"/>
      <c r="H56" s="36"/>
      <c r="I56" s="36"/>
      <c r="J56" s="36"/>
      <c r="K56" s="36"/>
      <c r="L56" s="34">
        <f t="shared" si="27"/>
        <v>0</v>
      </c>
      <c r="M56" s="249"/>
      <c r="N56" s="36"/>
      <c r="O56" s="81"/>
      <c r="P56" s="36"/>
    </row>
    <row r="57" spans="1:16" x14ac:dyDescent="0.3">
      <c r="A57" s="249"/>
      <c r="B57" s="262"/>
      <c r="C57" s="265"/>
      <c r="D57" s="267"/>
      <c r="E57" s="265"/>
      <c r="F57" s="36"/>
      <c r="G57" s="36"/>
      <c r="H57" s="36"/>
      <c r="I57" s="36"/>
      <c r="J57" s="36"/>
      <c r="K57" s="36"/>
      <c r="L57" s="34">
        <f t="shared" si="27"/>
        <v>0</v>
      </c>
      <c r="M57" s="249"/>
      <c r="N57" s="36"/>
      <c r="O57" s="73"/>
      <c r="P57" s="36"/>
    </row>
    <row r="58" spans="1:16" ht="15" thickBot="1" x14ac:dyDescent="0.35">
      <c r="A58" s="249"/>
      <c r="B58" s="262"/>
      <c r="C58" s="265"/>
      <c r="D58" s="267"/>
      <c r="E58" s="265"/>
      <c r="F58" s="41"/>
      <c r="G58" s="41"/>
      <c r="H58" s="41"/>
      <c r="I58" s="41"/>
      <c r="J58" s="41"/>
      <c r="K58" s="41"/>
      <c r="L58" s="34">
        <f t="shared" si="27"/>
        <v>0</v>
      </c>
      <c r="M58" s="250"/>
      <c r="N58" s="41"/>
      <c r="O58" s="93"/>
      <c r="P58" s="41"/>
    </row>
    <row r="59" spans="1:16" ht="15.6" thickTop="1" thickBot="1" x14ac:dyDescent="0.35">
      <c r="A59" s="250"/>
      <c r="B59" s="263"/>
      <c r="C59" s="266"/>
      <c r="D59" s="268"/>
      <c r="E59" s="266"/>
      <c r="F59" s="251"/>
      <c r="G59" s="252"/>
      <c r="H59" s="14">
        <f t="shared" ref="H59:L59" si="28">SUM(H54:H58)</f>
        <v>500</v>
      </c>
      <c r="I59" s="14">
        <f t="shared" si="28"/>
        <v>14000</v>
      </c>
      <c r="J59" s="14">
        <f t="shared" si="28"/>
        <v>3000</v>
      </c>
      <c r="K59" s="14">
        <f t="shared" si="28"/>
        <v>0</v>
      </c>
      <c r="L59" s="14">
        <f t="shared" si="28"/>
        <v>17500</v>
      </c>
      <c r="M59" s="14"/>
      <c r="N59" s="14">
        <f>M54-L59</f>
        <v>0</v>
      </c>
      <c r="O59" s="111"/>
      <c r="P59" s="14">
        <f t="shared" ref="P59" si="29">SUM(P54:P58)</f>
        <v>0</v>
      </c>
    </row>
    <row r="60" spans="1:16" ht="15.75" customHeight="1" thickTop="1" x14ac:dyDescent="0.3">
      <c r="A60" s="248">
        <f t="shared" ref="A60" si="30">A54+1</f>
        <v>10</v>
      </c>
      <c r="B60" s="253" t="s">
        <v>731</v>
      </c>
      <c r="C60" s="256" t="s">
        <v>732</v>
      </c>
      <c r="D60" s="256" t="s">
        <v>733</v>
      </c>
      <c r="E60" s="259" t="s">
        <v>423</v>
      </c>
      <c r="F60" s="3">
        <v>6947</v>
      </c>
      <c r="G60" s="29" t="s">
        <v>533</v>
      </c>
      <c r="H60" s="3">
        <v>500</v>
      </c>
      <c r="I60" s="3">
        <v>3500</v>
      </c>
      <c r="J60" s="3">
        <v>3000</v>
      </c>
      <c r="K60" s="3"/>
      <c r="L60" s="34">
        <f>SUM(H60:K60)</f>
        <v>7000</v>
      </c>
      <c r="M60" s="241">
        <v>17500</v>
      </c>
      <c r="N60" s="4"/>
      <c r="O60" s="86" t="s">
        <v>295</v>
      </c>
      <c r="P60" s="3"/>
    </row>
    <row r="61" spans="1:16" x14ac:dyDescent="0.3">
      <c r="A61" s="241"/>
      <c r="B61" s="254"/>
      <c r="C61" s="257"/>
      <c r="D61" s="257"/>
      <c r="E61" s="257"/>
      <c r="F61" s="16"/>
      <c r="G61" s="4"/>
      <c r="H61" s="4"/>
      <c r="I61" s="4"/>
      <c r="J61" s="4"/>
      <c r="K61" s="4"/>
      <c r="L61" s="34">
        <f t="shared" ref="L61:L64" si="31">SUM(H61:K61)</f>
        <v>0</v>
      </c>
      <c r="M61" s="241"/>
      <c r="N61" s="4"/>
      <c r="O61" s="71"/>
      <c r="P61" s="4"/>
    </row>
    <row r="62" spans="1:16" x14ac:dyDescent="0.3">
      <c r="A62" s="241"/>
      <c r="B62" s="254"/>
      <c r="C62" s="257"/>
      <c r="D62" s="257"/>
      <c r="E62" s="257"/>
      <c r="F62" s="4"/>
      <c r="G62" s="4"/>
      <c r="H62" s="4"/>
      <c r="I62" s="4"/>
      <c r="J62" s="4"/>
      <c r="K62" s="4"/>
      <c r="L62" s="34">
        <f t="shared" si="31"/>
        <v>0</v>
      </c>
      <c r="M62" s="241"/>
      <c r="N62" s="4"/>
      <c r="O62" s="78"/>
      <c r="P62" s="4"/>
    </row>
    <row r="63" spans="1:16" x14ac:dyDescent="0.3">
      <c r="A63" s="241"/>
      <c r="B63" s="254"/>
      <c r="C63" s="257"/>
      <c r="D63" s="257"/>
      <c r="E63" s="257"/>
      <c r="F63" s="4"/>
      <c r="G63" s="4"/>
      <c r="H63" s="4"/>
      <c r="I63" s="4"/>
      <c r="J63" s="4"/>
      <c r="K63" s="4"/>
      <c r="L63" s="34">
        <f t="shared" si="31"/>
        <v>0</v>
      </c>
      <c r="M63" s="241"/>
      <c r="N63" s="4"/>
      <c r="O63" s="71"/>
      <c r="P63" s="4"/>
    </row>
    <row r="64" spans="1:16" ht="15" thickBot="1" x14ac:dyDescent="0.35">
      <c r="A64" s="241"/>
      <c r="B64" s="254"/>
      <c r="C64" s="257"/>
      <c r="D64" s="257"/>
      <c r="E64" s="257"/>
      <c r="F64" s="6"/>
      <c r="G64" s="6"/>
      <c r="H64" s="6"/>
      <c r="I64" s="6"/>
      <c r="J64" s="6"/>
      <c r="K64" s="6"/>
      <c r="L64" s="34">
        <f t="shared" si="31"/>
        <v>0</v>
      </c>
      <c r="M64" s="242"/>
      <c r="N64" s="6"/>
      <c r="O64" s="87"/>
      <c r="P64" s="6"/>
    </row>
    <row r="65" spans="1:16" ht="15.6" thickTop="1" thickBot="1" x14ac:dyDescent="0.35">
      <c r="A65" s="242"/>
      <c r="B65" s="255"/>
      <c r="C65" s="258"/>
      <c r="D65" s="258"/>
      <c r="E65" s="258"/>
      <c r="F65" s="243"/>
      <c r="G65" s="244"/>
      <c r="H65" s="8">
        <f t="shared" ref="H65:L65" si="32">SUM(H60:H64)</f>
        <v>500</v>
      </c>
      <c r="I65" s="8">
        <f t="shared" si="32"/>
        <v>3500</v>
      </c>
      <c r="J65" s="8">
        <f t="shared" si="32"/>
        <v>3000</v>
      </c>
      <c r="K65" s="8">
        <f t="shared" si="32"/>
        <v>0</v>
      </c>
      <c r="L65" s="8">
        <f t="shared" si="32"/>
        <v>7000</v>
      </c>
      <c r="M65" s="8"/>
      <c r="N65" s="14">
        <f>M60-L65</f>
        <v>10500</v>
      </c>
      <c r="O65" s="100"/>
      <c r="P65" s="8">
        <f t="shared" ref="P65" si="33">SUM(P60:P64)</f>
        <v>0</v>
      </c>
    </row>
    <row r="66" spans="1:16" ht="15.75" customHeight="1" thickTop="1" x14ac:dyDescent="0.3">
      <c r="A66" s="248">
        <f t="shared" ref="A66" si="34">A60+1</f>
        <v>11</v>
      </c>
      <c r="B66" s="253" t="s">
        <v>798</v>
      </c>
      <c r="C66" s="256" t="s">
        <v>732</v>
      </c>
      <c r="D66" s="256" t="s">
        <v>643</v>
      </c>
      <c r="E66" s="292" t="s">
        <v>799</v>
      </c>
      <c r="F66" s="3">
        <v>9667</v>
      </c>
      <c r="G66" s="29" t="s">
        <v>800</v>
      </c>
      <c r="H66" s="3">
        <v>500</v>
      </c>
      <c r="I66" s="3">
        <v>4500</v>
      </c>
      <c r="J66" s="3">
        <v>3000</v>
      </c>
      <c r="K66" s="3"/>
      <c r="L66" s="20">
        <f>SUM(H66:K66)</f>
        <v>8000</v>
      </c>
      <c r="M66" s="241">
        <v>17500</v>
      </c>
      <c r="N66" s="4"/>
      <c r="O66" s="86"/>
      <c r="P66" s="3"/>
    </row>
    <row r="67" spans="1:16" x14ac:dyDescent="0.3">
      <c r="A67" s="241"/>
      <c r="B67" s="254"/>
      <c r="C67" s="257"/>
      <c r="D67" s="257"/>
      <c r="E67" s="287"/>
      <c r="F67" s="16"/>
      <c r="G67" s="4"/>
      <c r="H67" s="4"/>
      <c r="I67" s="4"/>
      <c r="J67" s="4"/>
      <c r="K67" s="4"/>
      <c r="L67" s="20">
        <f t="shared" ref="L67:L70" si="35">SUM(H67:K67)</f>
        <v>0</v>
      </c>
      <c r="M67" s="241"/>
      <c r="N67" s="4"/>
      <c r="O67" s="71"/>
      <c r="P67" s="4"/>
    </row>
    <row r="68" spans="1:16" x14ac:dyDescent="0.3">
      <c r="A68" s="241"/>
      <c r="B68" s="254"/>
      <c r="C68" s="257"/>
      <c r="D68" s="257"/>
      <c r="E68" s="287"/>
      <c r="F68" s="4"/>
      <c r="G68" s="4"/>
      <c r="H68" s="4"/>
      <c r="I68" s="4"/>
      <c r="J68" s="4"/>
      <c r="K68" s="4"/>
      <c r="L68" s="20">
        <f t="shared" si="35"/>
        <v>0</v>
      </c>
      <c r="M68" s="241"/>
      <c r="N68" s="4"/>
      <c r="O68" s="78"/>
      <c r="P68" s="4"/>
    </row>
    <row r="69" spans="1:16" x14ac:dyDescent="0.3">
      <c r="A69" s="241"/>
      <c r="B69" s="254"/>
      <c r="C69" s="257"/>
      <c r="D69" s="257"/>
      <c r="E69" s="287"/>
      <c r="F69" s="4"/>
      <c r="G69" s="4"/>
      <c r="H69" s="4"/>
      <c r="I69" s="4"/>
      <c r="J69" s="4"/>
      <c r="K69" s="4"/>
      <c r="L69" s="20">
        <f t="shared" si="35"/>
        <v>0</v>
      </c>
      <c r="M69" s="241"/>
      <c r="N69" s="4"/>
      <c r="O69" s="71"/>
      <c r="P69" s="4"/>
    </row>
    <row r="70" spans="1:16" ht="15" thickBot="1" x14ac:dyDescent="0.35">
      <c r="A70" s="241"/>
      <c r="B70" s="254"/>
      <c r="C70" s="257"/>
      <c r="D70" s="257"/>
      <c r="E70" s="287"/>
      <c r="F70" s="6"/>
      <c r="G70" s="6"/>
      <c r="H70" s="6"/>
      <c r="I70" s="6"/>
      <c r="J70" s="6"/>
      <c r="K70" s="6"/>
      <c r="L70" s="20">
        <f t="shared" si="35"/>
        <v>0</v>
      </c>
      <c r="M70" s="242"/>
      <c r="N70" s="6"/>
      <c r="O70" s="87"/>
      <c r="P70" s="6"/>
    </row>
    <row r="71" spans="1:16" ht="15.6" thickTop="1" thickBot="1" x14ac:dyDescent="0.35">
      <c r="A71" s="242"/>
      <c r="B71" s="255"/>
      <c r="C71" s="258"/>
      <c r="D71" s="258"/>
      <c r="E71" s="288"/>
      <c r="F71" s="243"/>
      <c r="G71" s="244"/>
      <c r="H71" s="8">
        <f t="shared" ref="H71:L71" si="36">SUM(H66:H70)</f>
        <v>500</v>
      </c>
      <c r="I71" s="8">
        <f t="shared" si="36"/>
        <v>4500</v>
      </c>
      <c r="J71" s="8">
        <f t="shared" si="36"/>
        <v>3000</v>
      </c>
      <c r="K71" s="8">
        <f t="shared" si="36"/>
        <v>0</v>
      </c>
      <c r="L71" s="8">
        <f t="shared" si="36"/>
        <v>8000</v>
      </c>
      <c r="M71" s="8"/>
      <c r="N71" s="8">
        <f>M66-L71</f>
        <v>9500</v>
      </c>
      <c r="O71" s="100"/>
      <c r="P71" s="8">
        <f t="shared" ref="P71" si="37">SUM(P66:P70)</f>
        <v>0</v>
      </c>
    </row>
    <row r="72" spans="1:16" ht="15.75" customHeight="1" thickTop="1" x14ac:dyDescent="0.3">
      <c r="A72" s="248">
        <f t="shared" ref="A72" si="38">A66+1</f>
        <v>12</v>
      </c>
      <c r="B72" s="293" t="s">
        <v>850</v>
      </c>
      <c r="C72" s="256" t="s">
        <v>851</v>
      </c>
      <c r="D72" s="256" t="s">
        <v>687</v>
      </c>
      <c r="E72" s="292" t="s">
        <v>853</v>
      </c>
      <c r="F72" s="3">
        <v>7028</v>
      </c>
      <c r="G72" s="29" t="s">
        <v>852</v>
      </c>
      <c r="H72" s="3">
        <v>500</v>
      </c>
      <c r="I72" s="3">
        <v>5000</v>
      </c>
      <c r="J72" s="3">
        <v>3000</v>
      </c>
      <c r="K72" s="3"/>
      <c r="L72" s="20">
        <f>SUM(H72:K72)</f>
        <v>8500</v>
      </c>
      <c r="M72" s="240">
        <v>17500</v>
      </c>
      <c r="N72" s="4"/>
      <c r="O72" s="71"/>
      <c r="P72" s="3">
        <v>1500</v>
      </c>
    </row>
    <row r="73" spans="1:16" x14ac:dyDescent="0.3">
      <c r="A73" s="241"/>
      <c r="B73" s="294"/>
      <c r="C73" s="257"/>
      <c r="D73" s="257"/>
      <c r="E73" s="287"/>
      <c r="F73" s="16"/>
      <c r="G73" s="4"/>
      <c r="H73" s="4"/>
      <c r="I73" s="4"/>
      <c r="J73" s="4"/>
      <c r="K73" s="4"/>
      <c r="L73" s="20">
        <f t="shared" ref="L73:L76" si="39">SUM(H73:K73)</f>
        <v>0</v>
      </c>
      <c r="M73" s="241"/>
      <c r="N73" s="4"/>
      <c r="O73" s="176"/>
      <c r="P73" s="4"/>
    </row>
    <row r="74" spans="1:16" x14ac:dyDescent="0.3">
      <c r="A74" s="241"/>
      <c r="B74" s="294"/>
      <c r="C74" s="257"/>
      <c r="D74" s="257"/>
      <c r="E74" s="287"/>
      <c r="F74" s="4"/>
      <c r="G74" s="4"/>
      <c r="H74" s="4"/>
      <c r="I74" s="4"/>
      <c r="J74" s="4"/>
      <c r="K74" s="4"/>
      <c r="L74" s="20">
        <f t="shared" si="39"/>
        <v>0</v>
      </c>
      <c r="M74" s="241"/>
      <c r="N74" s="4"/>
      <c r="O74" s="78"/>
      <c r="P74" s="4"/>
    </row>
    <row r="75" spans="1:16" x14ac:dyDescent="0.3">
      <c r="A75" s="241"/>
      <c r="B75" s="294"/>
      <c r="C75" s="257"/>
      <c r="D75" s="257"/>
      <c r="E75" s="287"/>
      <c r="F75" s="4"/>
      <c r="G75" s="4"/>
      <c r="H75" s="4"/>
      <c r="I75" s="4"/>
      <c r="J75" s="4"/>
      <c r="K75" s="4"/>
      <c r="L75" s="20">
        <f t="shared" si="39"/>
        <v>0</v>
      </c>
      <c r="M75" s="241"/>
      <c r="N75" s="4"/>
      <c r="O75" s="71"/>
      <c r="P75" s="4"/>
    </row>
    <row r="76" spans="1:16" ht="15" thickBot="1" x14ac:dyDescent="0.35">
      <c r="A76" s="241"/>
      <c r="B76" s="294"/>
      <c r="C76" s="257"/>
      <c r="D76" s="257"/>
      <c r="E76" s="287"/>
      <c r="F76" s="6"/>
      <c r="G76" s="6"/>
      <c r="H76" s="6"/>
      <c r="I76" s="6"/>
      <c r="J76" s="6"/>
      <c r="K76" s="6"/>
      <c r="L76" s="20">
        <f t="shared" si="39"/>
        <v>0</v>
      </c>
      <c r="M76" s="242"/>
      <c r="N76" s="6"/>
      <c r="O76" s="87"/>
      <c r="P76" s="6"/>
    </row>
    <row r="77" spans="1:16" ht="15.6" thickTop="1" thickBot="1" x14ac:dyDescent="0.35">
      <c r="A77" s="242"/>
      <c r="B77" s="295"/>
      <c r="C77" s="258"/>
      <c r="D77" s="258"/>
      <c r="E77" s="288"/>
      <c r="F77" s="243"/>
      <c r="G77" s="244"/>
      <c r="H77" s="8">
        <f t="shared" ref="H77:L77" si="40">SUM(H72:H76)</f>
        <v>500</v>
      </c>
      <c r="I77" s="8">
        <f t="shared" si="40"/>
        <v>5000</v>
      </c>
      <c r="J77" s="8">
        <f t="shared" si="40"/>
        <v>3000</v>
      </c>
      <c r="K77" s="8">
        <f t="shared" si="40"/>
        <v>0</v>
      </c>
      <c r="L77" s="8">
        <f t="shared" si="40"/>
        <v>8500</v>
      </c>
      <c r="M77" s="8"/>
      <c r="N77" s="8">
        <f>M72-L77</f>
        <v>9000</v>
      </c>
      <c r="O77" s="100"/>
      <c r="P77" s="8">
        <f t="shared" ref="P77" si="41">SUM(P72:P76)</f>
        <v>1500</v>
      </c>
    </row>
    <row r="78" spans="1:16" ht="15.75" customHeight="1" thickTop="1" x14ac:dyDescent="0.3">
      <c r="A78" s="260">
        <f t="shared" ref="A78" si="42">A72+1</f>
        <v>13</v>
      </c>
      <c r="B78" s="279" t="s">
        <v>849</v>
      </c>
      <c r="C78" s="280" t="s">
        <v>851</v>
      </c>
      <c r="D78" s="280" t="s">
        <v>854</v>
      </c>
      <c r="E78" s="296" t="s">
        <v>853</v>
      </c>
      <c r="F78" s="39">
        <v>7029</v>
      </c>
      <c r="G78" s="47" t="s">
        <v>855</v>
      </c>
      <c r="H78" s="39">
        <v>500</v>
      </c>
      <c r="I78" s="39">
        <v>14000</v>
      </c>
      <c r="J78" s="39">
        <v>3000</v>
      </c>
      <c r="K78" s="39"/>
      <c r="L78" s="34">
        <f>SUM(H78:K78)</f>
        <v>17500</v>
      </c>
      <c r="M78" s="271">
        <v>17500</v>
      </c>
      <c r="N78" s="36"/>
      <c r="O78" s="203"/>
      <c r="P78" s="39">
        <v>1500</v>
      </c>
    </row>
    <row r="79" spans="1:16" x14ac:dyDescent="0.3">
      <c r="A79" s="249"/>
      <c r="B79" s="277"/>
      <c r="C79" s="267"/>
      <c r="D79" s="267"/>
      <c r="E79" s="265"/>
      <c r="F79" s="31"/>
      <c r="G79" s="36"/>
      <c r="H79" s="36"/>
      <c r="I79" s="36"/>
      <c r="J79" s="36"/>
      <c r="K79" s="36"/>
      <c r="L79" s="34">
        <f t="shared" ref="L79:L82" si="43">SUM(H79:K79)</f>
        <v>0</v>
      </c>
      <c r="M79" s="249"/>
      <c r="N79" s="36"/>
      <c r="O79" s="73"/>
      <c r="P79" s="36"/>
    </row>
    <row r="80" spans="1:16" x14ac:dyDescent="0.3">
      <c r="A80" s="249"/>
      <c r="B80" s="277"/>
      <c r="C80" s="267"/>
      <c r="D80" s="267"/>
      <c r="E80" s="265"/>
      <c r="F80" s="36"/>
      <c r="G80" s="36"/>
      <c r="H80" s="36"/>
      <c r="I80" s="36"/>
      <c r="J80" s="36"/>
      <c r="K80" s="36"/>
      <c r="L80" s="34">
        <f t="shared" si="43"/>
        <v>0</v>
      </c>
      <c r="M80" s="249"/>
      <c r="N80" s="36"/>
      <c r="O80" s="81"/>
      <c r="P80" s="36"/>
    </row>
    <row r="81" spans="1:16" x14ac:dyDescent="0.3">
      <c r="A81" s="249"/>
      <c r="B81" s="277"/>
      <c r="C81" s="267"/>
      <c r="D81" s="267"/>
      <c r="E81" s="265"/>
      <c r="F81" s="36"/>
      <c r="G81" s="36"/>
      <c r="H81" s="36"/>
      <c r="I81" s="36"/>
      <c r="J81" s="36"/>
      <c r="K81" s="36"/>
      <c r="L81" s="34">
        <f t="shared" si="43"/>
        <v>0</v>
      </c>
      <c r="M81" s="249"/>
      <c r="N81" s="36"/>
      <c r="O81" s="73"/>
      <c r="P81" s="36"/>
    </row>
    <row r="82" spans="1:16" ht="15" thickBot="1" x14ac:dyDescent="0.35">
      <c r="A82" s="249"/>
      <c r="B82" s="277"/>
      <c r="C82" s="267"/>
      <c r="D82" s="267"/>
      <c r="E82" s="265"/>
      <c r="F82" s="41"/>
      <c r="G82" s="41"/>
      <c r="H82" s="41"/>
      <c r="I82" s="41"/>
      <c r="J82" s="41"/>
      <c r="K82" s="41"/>
      <c r="L82" s="34">
        <f t="shared" si="43"/>
        <v>0</v>
      </c>
      <c r="M82" s="250"/>
      <c r="N82" s="41"/>
      <c r="O82" s="93"/>
      <c r="P82" s="41"/>
    </row>
    <row r="83" spans="1:16" ht="15.6" thickTop="1" thickBot="1" x14ac:dyDescent="0.35">
      <c r="A83" s="250"/>
      <c r="B83" s="278"/>
      <c r="C83" s="268"/>
      <c r="D83" s="268"/>
      <c r="E83" s="266"/>
      <c r="F83" s="251"/>
      <c r="G83" s="252"/>
      <c r="H83" s="14">
        <f t="shared" ref="H83:L83" si="44">SUM(H78:H82)</f>
        <v>500</v>
      </c>
      <c r="I83" s="14">
        <f t="shared" si="44"/>
        <v>14000</v>
      </c>
      <c r="J83" s="14">
        <f t="shared" si="44"/>
        <v>3000</v>
      </c>
      <c r="K83" s="14">
        <f t="shared" si="44"/>
        <v>0</v>
      </c>
      <c r="L83" s="14">
        <f t="shared" si="44"/>
        <v>17500</v>
      </c>
      <c r="M83" s="14"/>
      <c r="N83" s="14">
        <f>M78-L83</f>
        <v>0</v>
      </c>
      <c r="O83" s="111"/>
      <c r="P83" s="14">
        <f t="shared" ref="P83" si="45">SUM(P78:P82)</f>
        <v>1500</v>
      </c>
    </row>
    <row r="84" spans="1:16" ht="15" thickTop="1" x14ac:dyDescent="0.3">
      <c r="A84" s="282">
        <v>14</v>
      </c>
      <c r="B84" s="283"/>
      <c r="C84" s="286"/>
      <c r="D84" s="286"/>
      <c r="E84" s="292"/>
      <c r="F84" s="15"/>
      <c r="G84" s="28"/>
      <c r="H84" s="15"/>
      <c r="I84" s="15"/>
      <c r="J84" s="15"/>
      <c r="K84" s="15"/>
      <c r="L84" s="34">
        <f>SUM(H84:K84)</f>
        <v>0</v>
      </c>
      <c r="M84" s="245"/>
      <c r="N84" s="16"/>
      <c r="O84" s="178"/>
      <c r="P84" s="15"/>
    </row>
    <row r="85" spans="1:16" x14ac:dyDescent="0.3">
      <c r="A85" s="246"/>
      <c r="B85" s="284"/>
      <c r="C85" s="287"/>
      <c r="D85" s="287"/>
      <c r="E85" s="287"/>
      <c r="F85" s="16"/>
      <c r="G85" s="16"/>
      <c r="H85" s="16"/>
      <c r="I85" s="16"/>
      <c r="J85" s="16"/>
      <c r="K85" s="16"/>
      <c r="L85" s="34">
        <f t="shared" ref="L85:L88" si="46">SUM(H85:K85)</f>
        <v>0</v>
      </c>
      <c r="M85" s="246"/>
      <c r="N85" s="16"/>
      <c r="O85" s="72"/>
      <c r="P85" s="16"/>
    </row>
    <row r="86" spans="1:16" x14ac:dyDescent="0.3">
      <c r="A86" s="246"/>
      <c r="B86" s="284"/>
      <c r="C86" s="287"/>
      <c r="D86" s="287"/>
      <c r="E86" s="287"/>
      <c r="F86" s="16"/>
      <c r="G86" s="16"/>
      <c r="H86" s="16"/>
      <c r="I86" s="16"/>
      <c r="J86" s="16"/>
      <c r="K86" s="16"/>
      <c r="L86" s="34">
        <f t="shared" si="46"/>
        <v>0</v>
      </c>
      <c r="M86" s="246"/>
      <c r="N86" s="16"/>
      <c r="O86" s="82"/>
      <c r="P86" s="16"/>
    </row>
    <row r="87" spans="1:16" x14ac:dyDescent="0.3">
      <c r="A87" s="246"/>
      <c r="B87" s="284"/>
      <c r="C87" s="287"/>
      <c r="D87" s="287"/>
      <c r="E87" s="287"/>
      <c r="F87" s="16"/>
      <c r="G87" s="16"/>
      <c r="H87" s="16"/>
      <c r="I87" s="16"/>
      <c r="J87" s="16"/>
      <c r="K87" s="16"/>
      <c r="L87" s="34">
        <f t="shared" si="46"/>
        <v>0</v>
      </c>
      <c r="M87" s="246"/>
      <c r="N87" s="16"/>
      <c r="O87" s="72"/>
      <c r="P87" s="16"/>
    </row>
    <row r="88" spans="1:16" ht="15" thickBot="1" x14ac:dyDescent="0.35">
      <c r="A88" s="246"/>
      <c r="B88" s="284"/>
      <c r="C88" s="287"/>
      <c r="D88" s="287"/>
      <c r="E88" s="287"/>
      <c r="F88" s="17"/>
      <c r="G88" s="17"/>
      <c r="H88" s="17"/>
      <c r="I88" s="17"/>
      <c r="J88" s="17"/>
      <c r="K88" s="17"/>
      <c r="L88" s="34">
        <f t="shared" si="46"/>
        <v>0</v>
      </c>
      <c r="M88" s="247"/>
      <c r="N88" s="17"/>
      <c r="O88" s="90"/>
      <c r="P88" s="17"/>
    </row>
    <row r="89" spans="1:16" ht="15.6" thickTop="1" thickBot="1" x14ac:dyDescent="0.35">
      <c r="A89" s="247"/>
      <c r="B89" s="285"/>
      <c r="C89" s="288"/>
      <c r="D89" s="288"/>
      <c r="E89" s="288"/>
      <c r="F89" s="243"/>
      <c r="G89" s="244"/>
      <c r="H89" s="8">
        <f t="shared" ref="H89:L89" si="47">SUM(H84:H88)</f>
        <v>0</v>
      </c>
      <c r="I89" s="8">
        <f t="shared" si="47"/>
        <v>0</v>
      </c>
      <c r="J89" s="8">
        <f t="shared" si="47"/>
        <v>0</v>
      </c>
      <c r="K89" s="8">
        <f t="shared" si="47"/>
        <v>0</v>
      </c>
      <c r="L89" s="8">
        <f t="shared" si="47"/>
        <v>0</v>
      </c>
      <c r="M89" s="8"/>
      <c r="N89" s="8">
        <f>M84-L89</f>
        <v>0</v>
      </c>
      <c r="O89" s="100"/>
      <c r="P89" s="8">
        <f t="shared" ref="P89" si="48">SUM(P84:P88)</f>
        <v>0</v>
      </c>
    </row>
    <row r="90" spans="1:16" ht="15" thickTop="1" x14ac:dyDescent="0.3">
      <c r="A90" s="248">
        <f t="shared" ref="A90" si="49">A84+1</f>
        <v>15</v>
      </c>
      <c r="B90" s="253"/>
      <c r="C90" s="256"/>
      <c r="D90" s="256"/>
      <c r="E90" s="292"/>
      <c r="F90" s="3"/>
      <c r="G90" s="29"/>
      <c r="H90" s="3"/>
      <c r="I90" s="3"/>
      <c r="J90" s="3"/>
      <c r="K90" s="3"/>
      <c r="L90" s="34">
        <f>SUM(H90:K90)</f>
        <v>0</v>
      </c>
      <c r="M90" s="240"/>
      <c r="N90" s="4"/>
      <c r="O90" s="177"/>
      <c r="P90" s="3"/>
    </row>
    <row r="91" spans="1:16" x14ac:dyDescent="0.3">
      <c r="A91" s="241"/>
      <c r="B91" s="254"/>
      <c r="C91" s="257"/>
      <c r="D91" s="257"/>
      <c r="E91" s="287"/>
      <c r="F91" s="16"/>
      <c r="G91" s="4"/>
      <c r="H91" s="4"/>
      <c r="I91" s="4"/>
      <c r="J91" s="4"/>
      <c r="K91" s="4"/>
      <c r="L91" s="34">
        <f t="shared" ref="L91:L94" si="50">SUM(H91:K91)</f>
        <v>0</v>
      </c>
      <c r="M91" s="241"/>
      <c r="N91" s="4"/>
      <c r="O91" s="71"/>
      <c r="P91" s="4"/>
    </row>
    <row r="92" spans="1:16" x14ac:dyDescent="0.3">
      <c r="A92" s="241"/>
      <c r="B92" s="254"/>
      <c r="C92" s="257"/>
      <c r="D92" s="257"/>
      <c r="E92" s="287"/>
      <c r="F92" s="4"/>
      <c r="G92" s="4"/>
      <c r="H92" s="4"/>
      <c r="I92" s="4"/>
      <c r="J92" s="4"/>
      <c r="K92" s="4"/>
      <c r="L92" s="34">
        <f t="shared" si="50"/>
        <v>0</v>
      </c>
      <c r="M92" s="241"/>
      <c r="N92" s="4"/>
      <c r="O92" s="78"/>
      <c r="P92" s="4"/>
    </row>
    <row r="93" spans="1:16" x14ac:dyDescent="0.3">
      <c r="A93" s="241"/>
      <c r="B93" s="254"/>
      <c r="C93" s="257"/>
      <c r="D93" s="257"/>
      <c r="E93" s="287"/>
      <c r="F93" s="4"/>
      <c r="G93" s="4"/>
      <c r="H93" s="4"/>
      <c r="I93" s="4"/>
      <c r="J93" s="4"/>
      <c r="K93" s="4"/>
      <c r="L93" s="34">
        <f t="shared" si="50"/>
        <v>0</v>
      </c>
      <c r="M93" s="241"/>
      <c r="N93" s="4"/>
      <c r="O93" s="71"/>
      <c r="P93" s="4"/>
    </row>
    <row r="94" spans="1:16" ht="15" thickBot="1" x14ac:dyDescent="0.35">
      <c r="A94" s="241"/>
      <c r="B94" s="254"/>
      <c r="C94" s="257"/>
      <c r="D94" s="257"/>
      <c r="E94" s="287"/>
      <c r="F94" s="6"/>
      <c r="G94" s="6"/>
      <c r="H94" s="6"/>
      <c r="I94" s="6"/>
      <c r="J94" s="6"/>
      <c r="K94" s="6"/>
      <c r="L94" s="34">
        <f t="shared" si="50"/>
        <v>0</v>
      </c>
      <c r="M94" s="242"/>
      <c r="N94" s="6"/>
      <c r="O94" s="87"/>
      <c r="P94" s="6"/>
    </row>
    <row r="95" spans="1:16" ht="15.6" thickTop="1" thickBot="1" x14ac:dyDescent="0.35">
      <c r="A95" s="242"/>
      <c r="B95" s="255"/>
      <c r="C95" s="258"/>
      <c r="D95" s="258"/>
      <c r="E95" s="288"/>
      <c r="F95" s="243"/>
      <c r="G95" s="244"/>
      <c r="H95" s="8">
        <f t="shared" ref="H95:L95" si="51">SUM(H90:H94)</f>
        <v>0</v>
      </c>
      <c r="I95" s="8">
        <f t="shared" si="51"/>
        <v>0</v>
      </c>
      <c r="J95" s="8">
        <f t="shared" si="51"/>
        <v>0</v>
      </c>
      <c r="K95" s="8">
        <f t="shared" si="51"/>
        <v>0</v>
      </c>
      <c r="L95" s="8">
        <f t="shared" si="51"/>
        <v>0</v>
      </c>
      <c r="M95" s="8"/>
      <c r="N95" s="8">
        <f>M90-L95</f>
        <v>0</v>
      </c>
      <c r="O95" s="100"/>
      <c r="P95" s="8">
        <f t="shared" ref="P95" si="52">SUM(P90:P94)</f>
        <v>0</v>
      </c>
    </row>
    <row r="96" spans="1:16" ht="15" thickTop="1" x14ac:dyDescent="0.3">
      <c r="A96" s="248">
        <f t="shared" ref="A96" si="53">A90+1</f>
        <v>16</v>
      </c>
      <c r="B96" s="253"/>
      <c r="C96" s="256"/>
      <c r="D96" s="256"/>
      <c r="E96" s="292"/>
      <c r="F96" s="3"/>
      <c r="G96" s="29"/>
      <c r="H96" s="3"/>
      <c r="I96" s="3"/>
      <c r="J96" s="3"/>
      <c r="K96" s="3"/>
      <c r="L96" s="34">
        <f>SUM(H96:K96)</f>
        <v>0</v>
      </c>
      <c r="M96" s="240"/>
      <c r="N96" s="4"/>
      <c r="O96" s="177"/>
      <c r="P96" s="3"/>
    </row>
    <row r="97" spans="1:16" x14ac:dyDescent="0.3">
      <c r="A97" s="241"/>
      <c r="B97" s="254"/>
      <c r="C97" s="257"/>
      <c r="D97" s="257"/>
      <c r="E97" s="287"/>
      <c r="F97" s="16"/>
      <c r="G97" s="4"/>
      <c r="H97" s="4"/>
      <c r="I97" s="4"/>
      <c r="J97" s="4"/>
      <c r="K97" s="4"/>
      <c r="L97" s="34">
        <f t="shared" ref="L97:L100" si="54">SUM(H97:K97)</f>
        <v>0</v>
      </c>
      <c r="M97" s="241"/>
      <c r="N97" s="4"/>
      <c r="O97" s="20"/>
      <c r="P97" s="4"/>
    </row>
    <row r="98" spans="1:16" x14ac:dyDescent="0.3">
      <c r="A98" s="241"/>
      <c r="B98" s="254"/>
      <c r="C98" s="257"/>
      <c r="D98" s="257"/>
      <c r="E98" s="287"/>
      <c r="F98" s="4"/>
      <c r="G98" s="4"/>
      <c r="H98" s="4"/>
      <c r="I98" s="4"/>
      <c r="J98" s="4"/>
      <c r="K98" s="4"/>
      <c r="L98" s="34">
        <f t="shared" si="54"/>
        <v>0</v>
      </c>
      <c r="M98" s="241"/>
      <c r="N98" s="4"/>
      <c r="O98" s="4"/>
      <c r="P98" s="4"/>
    </row>
    <row r="99" spans="1:16" x14ac:dyDescent="0.3">
      <c r="A99" s="241"/>
      <c r="B99" s="254"/>
      <c r="C99" s="257"/>
      <c r="D99" s="257"/>
      <c r="E99" s="287"/>
      <c r="F99" s="4"/>
      <c r="G99" s="4"/>
      <c r="H99" s="4"/>
      <c r="I99" s="4"/>
      <c r="J99" s="4"/>
      <c r="K99" s="4"/>
      <c r="L99" s="34">
        <f t="shared" si="54"/>
        <v>0</v>
      </c>
      <c r="M99" s="241"/>
      <c r="N99" s="4"/>
      <c r="O99" s="26"/>
      <c r="P99" s="4"/>
    </row>
    <row r="100" spans="1:16" ht="15" thickBot="1" x14ac:dyDescent="0.35">
      <c r="A100" s="241"/>
      <c r="B100" s="254"/>
      <c r="C100" s="257"/>
      <c r="D100" s="257"/>
      <c r="E100" s="287"/>
      <c r="F100" s="6"/>
      <c r="G100" s="6"/>
      <c r="H100" s="6"/>
      <c r="I100" s="6"/>
      <c r="J100" s="6"/>
      <c r="K100" s="6"/>
      <c r="L100" s="34">
        <f t="shared" si="54"/>
        <v>0</v>
      </c>
      <c r="M100" s="242"/>
      <c r="N100" s="6"/>
      <c r="O100" s="87"/>
      <c r="P100" s="6"/>
    </row>
    <row r="101" spans="1:16" ht="15.6" thickTop="1" thickBot="1" x14ac:dyDescent="0.35">
      <c r="A101" s="242"/>
      <c r="B101" s="255"/>
      <c r="C101" s="258"/>
      <c r="D101" s="258"/>
      <c r="E101" s="288"/>
      <c r="F101" s="243"/>
      <c r="G101" s="244"/>
      <c r="H101" s="8">
        <f t="shared" ref="H101:L101" si="55">SUM(H96:H100)</f>
        <v>0</v>
      </c>
      <c r="I101" s="8">
        <f t="shared" si="55"/>
        <v>0</v>
      </c>
      <c r="J101" s="8">
        <f t="shared" si="55"/>
        <v>0</v>
      </c>
      <c r="K101" s="8">
        <f t="shared" si="55"/>
        <v>0</v>
      </c>
      <c r="L101" s="8">
        <f t="shared" si="55"/>
        <v>0</v>
      </c>
      <c r="M101" s="8"/>
      <c r="N101" s="8">
        <f>M96-L101</f>
        <v>0</v>
      </c>
      <c r="O101" s="100"/>
      <c r="P101" s="8">
        <f t="shared" ref="P101" si="56">SUM(P96:P100)</f>
        <v>0</v>
      </c>
    </row>
    <row r="102" spans="1:16" ht="16.5" customHeight="1" thickTop="1" x14ac:dyDescent="0.3">
      <c r="A102" s="289" t="s">
        <v>15</v>
      </c>
      <c r="B102" s="290"/>
      <c r="C102" s="290"/>
      <c r="D102" s="290"/>
      <c r="E102" s="290"/>
      <c r="F102" s="290"/>
      <c r="G102" s="291"/>
      <c r="H102" s="2">
        <f t="shared" ref="H102:L102" si="57">+H35+H23+H17+H41+H47:H47+H53+H59+H65+H71+H77+H83+H89+H95+H101</f>
        <v>5500</v>
      </c>
      <c r="I102" s="2">
        <f t="shared" si="57"/>
        <v>99500</v>
      </c>
      <c r="J102" s="2">
        <f t="shared" si="57"/>
        <v>30000</v>
      </c>
      <c r="K102" s="2">
        <f t="shared" si="57"/>
        <v>0</v>
      </c>
      <c r="L102" s="2">
        <f t="shared" si="57"/>
        <v>135000</v>
      </c>
      <c r="M102" s="2">
        <f>M96+M90+M84+M78+M72+M66+M60+M54+M48+M42+M36+M30+M18+M12+M6</f>
        <v>210000</v>
      </c>
      <c r="N102" s="2">
        <f>+N35+N23+N17+N41+N47:N47+N53+N59+N65+N71+N77+N83+N89+N95+N101</f>
        <v>57500</v>
      </c>
      <c r="O102" s="83"/>
      <c r="P102" s="2">
        <f>+P35+P23+P17+P41+P47:P47+P53+P59+P65+P71+P77+P83+P89+P95+P101</f>
        <v>7500</v>
      </c>
    </row>
    <row r="104" spans="1:16" x14ac:dyDescent="0.3">
      <c r="N104">
        <v>23000</v>
      </c>
    </row>
    <row r="105" spans="1:16" x14ac:dyDescent="0.3">
      <c r="N105">
        <f>+N104-N102</f>
        <v>-34500</v>
      </c>
    </row>
  </sheetData>
  <mergeCells count="117">
    <mergeCell ref="A24:A29"/>
    <mergeCell ref="B24:B29"/>
    <mergeCell ref="C24:C29"/>
    <mergeCell ref="D24:D29"/>
    <mergeCell ref="E24:E29"/>
    <mergeCell ref="M24:M28"/>
    <mergeCell ref="F29:G29"/>
    <mergeCell ref="A18:A23"/>
    <mergeCell ref="B18:B23"/>
    <mergeCell ref="D18:D23"/>
    <mergeCell ref="E18:E23"/>
    <mergeCell ref="B90:B95"/>
    <mergeCell ref="C90:C95"/>
    <mergeCell ref="D90:D95"/>
    <mergeCell ref="E90:E95"/>
    <mergeCell ref="M90:M94"/>
    <mergeCell ref="F95:G95"/>
    <mergeCell ref="A84:A89"/>
    <mergeCell ref="B84:B89"/>
    <mergeCell ref="C84:C89"/>
    <mergeCell ref="M72:M76"/>
    <mergeCell ref="F77:G77"/>
    <mergeCell ref="A72:A77"/>
    <mergeCell ref="B78:B83"/>
    <mergeCell ref="C72:C77"/>
    <mergeCell ref="D72:D77"/>
    <mergeCell ref="E72:E77"/>
    <mergeCell ref="B72:B77"/>
    <mergeCell ref="M78:M82"/>
    <mergeCell ref="F83:G83"/>
    <mergeCell ref="A78:A83"/>
    <mergeCell ref="C78:C83"/>
    <mergeCell ref="D78:D83"/>
    <mergeCell ref="E78:E83"/>
    <mergeCell ref="A102:G102"/>
    <mergeCell ref="A36:A41"/>
    <mergeCell ref="B36:B41"/>
    <mergeCell ref="C36:C41"/>
    <mergeCell ref="A42:A47"/>
    <mergeCell ref="B42:B47"/>
    <mergeCell ref="C42:C47"/>
    <mergeCell ref="D42:D47"/>
    <mergeCell ref="E42:E47"/>
    <mergeCell ref="F47:G47"/>
    <mergeCell ref="A48:A53"/>
    <mergeCell ref="B48:B53"/>
    <mergeCell ref="C48:C53"/>
    <mergeCell ref="D48:D53"/>
    <mergeCell ref="E48:E53"/>
    <mergeCell ref="A96:A101"/>
    <mergeCell ref="B96:B101"/>
    <mergeCell ref="C96:C101"/>
    <mergeCell ref="D96:D101"/>
    <mergeCell ref="E96:E101"/>
    <mergeCell ref="D84:D89"/>
    <mergeCell ref="E84:E89"/>
    <mergeCell ref="F71:G71"/>
    <mergeCell ref="A66:A71"/>
    <mergeCell ref="A30:A35"/>
    <mergeCell ref="C18:C23"/>
    <mergeCell ref="F17:G17"/>
    <mergeCell ref="M12:M16"/>
    <mergeCell ref="A1:P1"/>
    <mergeCell ref="A2:P2"/>
    <mergeCell ref="A3:P3"/>
    <mergeCell ref="A4:P4"/>
    <mergeCell ref="D12:D17"/>
    <mergeCell ref="E12:E17"/>
    <mergeCell ref="C12:C17"/>
    <mergeCell ref="A12:A17"/>
    <mergeCell ref="B12:B17"/>
    <mergeCell ref="B30:B35"/>
    <mergeCell ref="C30:C35"/>
    <mergeCell ref="D30:D35"/>
    <mergeCell ref="E30:E35"/>
    <mergeCell ref="A6:A11"/>
    <mergeCell ref="B6:B11"/>
    <mergeCell ref="C6:C11"/>
    <mergeCell ref="D6:D11"/>
    <mergeCell ref="E6:E11"/>
    <mergeCell ref="M6:M10"/>
    <mergeCell ref="F11:G11"/>
    <mergeCell ref="M48:M52"/>
    <mergeCell ref="F53:G53"/>
    <mergeCell ref="F23:G23"/>
    <mergeCell ref="F35:G35"/>
    <mergeCell ref="M18:M22"/>
    <mergeCell ref="M30:M34"/>
    <mergeCell ref="D36:D41"/>
    <mergeCell ref="E36:E41"/>
    <mergeCell ref="M36:M40"/>
    <mergeCell ref="F41:G41"/>
    <mergeCell ref="M42:M46"/>
    <mergeCell ref="M96:M100"/>
    <mergeCell ref="F101:G101"/>
    <mergeCell ref="M84:M88"/>
    <mergeCell ref="F89:G89"/>
    <mergeCell ref="A90:A95"/>
    <mergeCell ref="M54:M58"/>
    <mergeCell ref="F59:G59"/>
    <mergeCell ref="A60:A65"/>
    <mergeCell ref="B60:B65"/>
    <mergeCell ref="C60:C65"/>
    <mergeCell ref="D60:D65"/>
    <mergeCell ref="E60:E65"/>
    <mergeCell ref="M60:M64"/>
    <mergeCell ref="F65:G65"/>
    <mergeCell ref="A54:A59"/>
    <mergeCell ref="B54:B59"/>
    <mergeCell ref="C54:C59"/>
    <mergeCell ref="D54:D59"/>
    <mergeCell ref="E54:E59"/>
    <mergeCell ref="M66:M70"/>
    <mergeCell ref="B66:B71"/>
    <mergeCell ref="C66:C71"/>
    <mergeCell ref="D66:D71"/>
    <mergeCell ref="E66:E71"/>
  </mergeCells>
  <pageMargins left="0.16" right="0.15" top="0.23622047244094491" bottom="0.23622047244094491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9"/>
  <sheetViews>
    <sheetView tabSelected="1" workbookViewId="0">
      <pane xSplit="5" ySplit="5" topLeftCell="F100" activePane="bottomRight" state="frozen"/>
      <selection pane="topRight" activeCell="F1" sqref="F1"/>
      <selection pane="bottomLeft" activeCell="A6" sqref="A6"/>
      <selection pane="bottomRight" activeCell="I104" sqref="I104"/>
    </sheetView>
  </sheetViews>
  <sheetFormatPr defaultRowHeight="14.4" x14ac:dyDescent="0.3"/>
  <cols>
    <col min="1" max="1" width="3.5546875" customWidth="1"/>
    <col min="2" max="2" width="31.33203125" style="62" customWidth="1"/>
    <col min="3" max="3" width="6.6640625" customWidth="1"/>
    <col min="4" max="4" width="8.109375" customWidth="1"/>
    <col min="5" max="5" width="10.6640625" customWidth="1"/>
    <col min="6" max="6" width="7.5546875" customWidth="1"/>
    <col min="7" max="7" width="9.88671875" customWidth="1"/>
    <col min="8" max="8" width="8" customWidth="1"/>
    <col min="9" max="9" width="8.109375" customWidth="1"/>
    <col min="10" max="10" width="10.33203125" customWidth="1"/>
    <col min="11" max="11" width="8" customWidth="1"/>
    <col min="12" max="12" width="10.109375" customWidth="1"/>
    <col min="13" max="13" width="11.109375" customWidth="1"/>
    <col min="14" max="14" width="12.109375" customWidth="1"/>
    <col min="15" max="15" width="15.5546875" style="84" customWidth="1"/>
    <col min="16" max="16" width="8.44140625" customWidth="1"/>
  </cols>
  <sheetData>
    <row r="1" spans="1:16" ht="19.5" customHeight="1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 spans="1:16" ht="23.25" customHeight="1" x14ac:dyDescent="0.45">
      <c r="A2" s="318" t="s">
        <v>11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</row>
    <row r="3" spans="1:16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</row>
    <row r="4" spans="1:16" ht="25.2" x14ac:dyDescent="0.45">
      <c r="A4" s="320" t="s">
        <v>429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</row>
    <row r="5" spans="1:16" ht="48.75" customHeight="1" thickBot="1" x14ac:dyDescent="0.35">
      <c r="A5" s="23" t="s">
        <v>0</v>
      </c>
      <c r="B5" s="25" t="s">
        <v>13</v>
      </c>
      <c r="C5" s="13" t="s">
        <v>14</v>
      </c>
      <c r="D5" s="25" t="s">
        <v>1</v>
      </c>
      <c r="E5" s="13" t="s">
        <v>2</v>
      </c>
      <c r="F5" s="61" t="s">
        <v>8</v>
      </c>
      <c r="G5" s="13" t="s">
        <v>9</v>
      </c>
      <c r="H5" s="13" t="s">
        <v>46</v>
      </c>
      <c r="I5" s="13" t="s">
        <v>3</v>
      </c>
      <c r="J5" s="13" t="s">
        <v>4</v>
      </c>
      <c r="K5" s="13" t="s">
        <v>5</v>
      </c>
      <c r="L5" s="61" t="s">
        <v>15</v>
      </c>
      <c r="M5" s="61" t="s">
        <v>50</v>
      </c>
      <c r="N5" s="13" t="s">
        <v>6</v>
      </c>
      <c r="O5" s="85" t="s">
        <v>7</v>
      </c>
      <c r="P5" s="13" t="s">
        <v>44</v>
      </c>
    </row>
    <row r="6" spans="1:16" ht="15.75" customHeight="1" thickTop="1" x14ac:dyDescent="0.3">
      <c r="A6" s="241">
        <v>1</v>
      </c>
      <c r="B6" s="283" t="s">
        <v>78</v>
      </c>
      <c r="C6" s="286" t="s">
        <v>74</v>
      </c>
      <c r="D6" s="256" t="s">
        <v>77</v>
      </c>
      <c r="E6" s="297" t="s">
        <v>76</v>
      </c>
      <c r="F6" s="20">
        <v>6712</v>
      </c>
      <c r="G6" s="22" t="s">
        <v>75</v>
      </c>
      <c r="H6" s="20">
        <v>500</v>
      </c>
      <c r="I6" s="20">
        <v>4500</v>
      </c>
      <c r="J6" s="20"/>
      <c r="K6" s="20"/>
      <c r="L6" s="20">
        <f>SUM(H6:K6)</f>
        <v>5000</v>
      </c>
      <c r="M6" s="241">
        <v>14500</v>
      </c>
      <c r="N6" s="20"/>
      <c r="O6" s="86" t="s">
        <v>295</v>
      </c>
      <c r="P6" s="20"/>
    </row>
    <row r="7" spans="1:16" x14ac:dyDescent="0.3">
      <c r="A7" s="241"/>
      <c r="B7" s="284"/>
      <c r="C7" s="287"/>
      <c r="D7" s="257"/>
      <c r="E7" s="287"/>
      <c r="F7" s="4">
        <v>6962</v>
      </c>
      <c r="G7" s="4" t="s">
        <v>748</v>
      </c>
      <c r="H7" s="4"/>
      <c r="I7" s="4">
        <v>2000</v>
      </c>
      <c r="J7" s="4">
        <v>3000</v>
      </c>
      <c r="K7" s="4"/>
      <c r="L7" s="20">
        <f t="shared" ref="L7:L10" si="0">SUM(H7:K7)</f>
        <v>5000</v>
      </c>
      <c r="M7" s="241"/>
      <c r="N7" s="4"/>
      <c r="O7" s="71"/>
      <c r="P7" s="4"/>
    </row>
    <row r="8" spans="1:16" x14ac:dyDescent="0.3">
      <c r="A8" s="241"/>
      <c r="B8" s="284"/>
      <c r="C8" s="287"/>
      <c r="D8" s="257"/>
      <c r="E8" s="287"/>
      <c r="F8" s="16"/>
      <c r="G8" s="4"/>
      <c r="H8" s="4"/>
      <c r="I8" s="4"/>
      <c r="J8" s="4"/>
      <c r="K8" s="4"/>
      <c r="L8" s="20">
        <f t="shared" si="0"/>
        <v>0</v>
      </c>
      <c r="M8" s="241"/>
      <c r="N8" s="4"/>
      <c r="O8" s="78"/>
      <c r="P8" s="4"/>
    </row>
    <row r="9" spans="1:16" x14ac:dyDescent="0.3">
      <c r="A9" s="241"/>
      <c r="B9" s="284"/>
      <c r="C9" s="287"/>
      <c r="D9" s="257"/>
      <c r="E9" s="287"/>
      <c r="F9" s="4"/>
      <c r="G9" s="4"/>
      <c r="H9" s="4"/>
      <c r="I9" s="4"/>
      <c r="J9" s="4"/>
      <c r="K9" s="4"/>
      <c r="L9" s="20">
        <f t="shared" si="0"/>
        <v>0</v>
      </c>
      <c r="M9" s="241"/>
      <c r="N9" s="4"/>
      <c r="O9" s="71"/>
      <c r="P9" s="4"/>
    </row>
    <row r="10" spans="1:16" ht="15" thickBot="1" x14ac:dyDescent="0.35">
      <c r="A10" s="241"/>
      <c r="B10" s="284"/>
      <c r="C10" s="287"/>
      <c r="D10" s="257"/>
      <c r="E10" s="287"/>
      <c r="F10" s="6"/>
      <c r="G10" s="6"/>
      <c r="H10" s="6"/>
      <c r="I10" s="6"/>
      <c r="J10" s="6"/>
      <c r="K10" s="6"/>
      <c r="L10" s="20">
        <f t="shared" si="0"/>
        <v>0</v>
      </c>
      <c r="M10" s="242"/>
      <c r="N10" s="6"/>
      <c r="O10" s="87"/>
      <c r="P10" s="6"/>
    </row>
    <row r="11" spans="1:16" ht="15.6" thickTop="1" thickBot="1" x14ac:dyDescent="0.35">
      <c r="A11" s="242"/>
      <c r="B11" s="285"/>
      <c r="C11" s="288"/>
      <c r="D11" s="258"/>
      <c r="E11" s="288"/>
      <c r="F11" s="243"/>
      <c r="G11" s="244"/>
      <c r="H11" s="8">
        <f t="shared" ref="H11:K11" si="1">SUM(H6:H10)</f>
        <v>500</v>
      </c>
      <c r="I11" s="8">
        <f t="shared" si="1"/>
        <v>6500</v>
      </c>
      <c r="J11" s="8">
        <f t="shared" si="1"/>
        <v>3000</v>
      </c>
      <c r="K11" s="8">
        <f t="shared" si="1"/>
        <v>0</v>
      </c>
      <c r="L11" s="8">
        <f>SUM(L6:L10)</f>
        <v>10000</v>
      </c>
      <c r="M11" s="8"/>
      <c r="N11" s="8">
        <f>M6-L11</f>
        <v>4500</v>
      </c>
      <c r="O11" s="100"/>
      <c r="P11" s="8">
        <f>SUM(P6:P10)</f>
        <v>0</v>
      </c>
    </row>
    <row r="12" spans="1:16" ht="15" thickTop="1" x14ac:dyDescent="0.3">
      <c r="A12" s="282">
        <f>A6+1</f>
        <v>2</v>
      </c>
      <c r="B12" s="283" t="s">
        <v>236</v>
      </c>
      <c r="C12" s="286" t="s">
        <v>147</v>
      </c>
      <c r="D12" s="286" t="s">
        <v>237</v>
      </c>
      <c r="E12" s="292" t="s">
        <v>238</v>
      </c>
      <c r="F12" s="15">
        <v>6682</v>
      </c>
      <c r="G12" s="179" t="s">
        <v>239</v>
      </c>
      <c r="H12" s="20">
        <v>500</v>
      </c>
      <c r="I12" s="20">
        <v>4000</v>
      </c>
      <c r="J12" s="20">
        <v>3000</v>
      </c>
      <c r="K12" s="20"/>
      <c r="L12" s="20">
        <f>SUM(H12:K12)</f>
        <v>7500</v>
      </c>
      <c r="M12" s="241">
        <v>14500</v>
      </c>
      <c r="N12" s="20"/>
      <c r="O12" s="116" t="s">
        <v>240</v>
      </c>
      <c r="P12" s="20"/>
    </row>
    <row r="13" spans="1:16" x14ac:dyDescent="0.3">
      <c r="A13" s="246"/>
      <c r="B13" s="284"/>
      <c r="C13" s="287"/>
      <c r="D13" s="287"/>
      <c r="E13" s="287"/>
      <c r="F13" s="16">
        <v>6888</v>
      </c>
      <c r="G13" s="16" t="s">
        <v>790</v>
      </c>
      <c r="H13" s="4"/>
      <c r="I13" s="4">
        <v>3000</v>
      </c>
      <c r="J13" s="4"/>
      <c r="K13" s="4"/>
      <c r="L13" s="20">
        <f t="shared" ref="L13:L16" si="2">SUM(H13:K13)</f>
        <v>3000</v>
      </c>
      <c r="M13" s="241"/>
      <c r="N13" s="4"/>
      <c r="O13" s="86" t="s">
        <v>295</v>
      </c>
      <c r="P13" s="4"/>
    </row>
    <row r="14" spans="1:16" x14ac:dyDescent="0.3">
      <c r="A14" s="246"/>
      <c r="B14" s="284"/>
      <c r="C14" s="287"/>
      <c r="D14" s="287"/>
      <c r="E14" s="287"/>
      <c r="F14" s="16"/>
      <c r="G14" s="16"/>
      <c r="H14" s="4"/>
      <c r="I14" s="4"/>
      <c r="J14" s="4"/>
      <c r="K14" s="4"/>
      <c r="L14" s="20">
        <f t="shared" si="2"/>
        <v>0</v>
      </c>
      <c r="M14" s="241"/>
      <c r="N14" s="4"/>
      <c r="O14" s="78"/>
      <c r="P14" s="4"/>
    </row>
    <row r="15" spans="1:16" x14ac:dyDescent="0.3">
      <c r="A15" s="246"/>
      <c r="B15" s="284"/>
      <c r="C15" s="287"/>
      <c r="D15" s="287"/>
      <c r="E15" s="287"/>
      <c r="F15" s="16"/>
      <c r="G15" s="16"/>
      <c r="H15" s="4"/>
      <c r="I15" s="4"/>
      <c r="J15" s="4"/>
      <c r="K15" s="4"/>
      <c r="L15" s="20">
        <f t="shared" si="2"/>
        <v>0</v>
      </c>
      <c r="M15" s="241"/>
      <c r="N15" s="4"/>
      <c r="O15" s="71"/>
      <c r="P15" s="4"/>
    </row>
    <row r="16" spans="1:16" ht="15" thickBot="1" x14ac:dyDescent="0.35">
      <c r="A16" s="246"/>
      <c r="B16" s="284"/>
      <c r="C16" s="287"/>
      <c r="D16" s="287"/>
      <c r="E16" s="287"/>
      <c r="F16" s="17"/>
      <c r="G16" s="17"/>
      <c r="H16" s="6"/>
      <c r="I16" s="6"/>
      <c r="J16" s="6"/>
      <c r="K16" s="6"/>
      <c r="L16" s="20">
        <f t="shared" si="2"/>
        <v>0</v>
      </c>
      <c r="M16" s="242"/>
      <c r="N16" s="6"/>
      <c r="O16" s="87"/>
      <c r="P16" s="6"/>
    </row>
    <row r="17" spans="1:16" ht="15.6" thickTop="1" thickBot="1" x14ac:dyDescent="0.35">
      <c r="A17" s="247"/>
      <c r="B17" s="285"/>
      <c r="C17" s="288"/>
      <c r="D17" s="288"/>
      <c r="E17" s="288"/>
      <c r="F17" s="298"/>
      <c r="G17" s="299"/>
      <c r="H17" s="8">
        <f t="shared" ref="H17" si="3">SUM(H12:H16)</f>
        <v>500</v>
      </c>
      <c r="I17" s="8">
        <f t="shared" ref="I17" si="4">SUM(I12:I16)</f>
        <v>7000</v>
      </c>
      <c r="J17" s="8">
        <f t="shared" ref="J17" si="5">SUM(J12:J16)</f>
        <v>3000</v>
      </c>
      <c r="K17" s="8">
        <f t="shared" ref="K17" si="6">SUM(K12:K16)</f>
        <v>0</v>
      </c>
      <c r="L17" s="8">
        <f>SUM(L12:L16)</f>
        <v>10500</v>
      </c>
      <c r="M17" s="8"/>
      <c r="N17" s="8">
        <f>M12-L17</f>
        <v>4000</v>
      </c>
      <c r="O17" s="100"/>
      <c r="P17" s="8">
        <f>SUM(P12:P16)</f>
        <v>0</v>
      </c>
    </row>
    <row r="18" spans="1:16" ht="15" thickTop="1" x14ac:dyDescent="0.3">
      <c r="A18" s="260">
        <f t="shared" ref="A18" si="7">A12+1</f>
        <v>3</v>
      </c>
      <c r="B18" s="279" t="s">
        <v>289</v>
      </c>
      <c r="C18" s="280" t="s">
        <v>114</v>
      </c>
      <c r="D18" s="280" t="s">
        <v>290</v>
      </c>
      <c r="E18" s="281" t="s">
        <v>291</v>
      </c>
      <c r="F18" s="39">
        <v>6700</v>
      </c>
      <c r="G18" s="47" t="s">
        <v>292</v>
      </c>
      <c r="H18" s="34">
        <v>500</v>
      </c>
      <c r="I18" s="34">
        <v>2000</v>
      </c>
      <c r="J18" s="34">
        <v>3000</v>
      </c>
      <c r="K18" s="34"/>
      <c r="L18" s="34">
        <f>SUM(H18:K18)</f>
        <v>5500</v>
      </c>
      <c r="M18" s="249">
        <v>14500</v>
      </c>
      <c r="N18" s="34"/>
      <c r="O18" s="94"/>
      <c r="P18" s="34">
        <v>1500</v>
      </c>
    </row>
    <row r="19" spans="1:16" x14ac:dyDescent="0.3">
      <c r="A19" s="249"/>
      <c r="B19" s="277"/>
      <c r="C19" s="267"/>
      <c r="D19" s="267"/>
      <c r="E19" s="267"/>
      <c r="F19" s="31">
        <v>6771</v>
      </c>
      <c r="G19" s="36" t="s">
        <v>340</v>
      </c>
      <c r="H19" s="36"/>
      <c r="I19" s="36">
        <v>4000</v>
      </c>
      <c r="J19" s="36"/>
      <c r="K19" s="36"/>
      <c r="L19" s="34">
        <f t="shared" ref="L19:L22" si="8">SUM(H19:K19)</f>
        <v>4000</v>
      </c>
      <c r="M19" s="249"/>
      <c r="N19" s="36"/>
      <c r="O19" s="73"/>
      <c r="P19" s="36"/>
    </row>
    <row r="20" spans="1:16" x14ac:dyDescent="0.3">
      <c r="A20" s="249"/>
      <c r="B20" s="277"/>
      <c r="C20" s="267"/>
      <c r="D20" s="267"/>
      <c r="E20" s="267"/>
      <c r="F20" s="36">
        <v>6821</v>
      </c>
      <c r="G20" s="36" t="s">
        <v>620</v>
      </c>
      <c r="H20" s="36"/>
      <c r="I20" s="36">
        <v>5000</v>
      </c>
      <c r="J20" s="36"/>
      <c r="K20" s="36"/>
      <c r="L20" s="34">
        <f t="shared" si="8"/>
        <v>5000</v>
      </c>
      <c r="M20" s="249"/>
      <c r="N20" s="36"/>
      <c r="O20" s="81"/>
      <c r="P20" s="36"/>
    </row>
    <row r="21" spans="1:16" x14ac:dyDescent="0.3">
      <c r="A21" s="249"/>
      <c r="B21" s="277"/>
      <c r="C21" s="267"/>
      <c r="D21" s="267"/>
      <c r="E21" s="267"/>
      <c r="F21" s="36"/>
      <c r="G21" s="36"/>
      <c r="H21" s="36"/>
      <c r="I21" s="36"/>
      <c r="J21" s="36"/>
      <c r="K21" s="36"/>
      <c r="L21" s="34">
        <f t="shared" si="8"/>
        <v>0</v>
      </c>
      <c r="M21" s="249"/>
      <c r="N21" s="36"/>
      <c r="O21" s="73"/>
      <c r="P21" s="36"/>
    </row>
    <row r="22" spans="1:16" ht="15" thickBot="1" x14ac:dyDescent="0.35">
      <c r="A22" s="249"/>
      <c r="B22" s="277"/>
      <c r="C22" s="267"/>
      <c r="D22" s="267"/>
      <c r="E22" s="267"/>
      <c r="F22" s="41"/>
      <c r="G22" s="41"/>
      <c r="H22" s="41"/>
      <c r="I22" s="41"/>
      <c r="J22" s="41"/>
      <c r="K22" s="41"/>
      <c r="L22" s="34">
        <f t="shared" si="8"/>
        <v>0</v>
      </c>
      <c r="M22" s="250"/>
      <c r="N22" s="41"/>
      <c r="O22" s="93"/>
      <c r="P22" s="41"/>
    </row>
    <row r="23" spans="1:16" ht="15.6" thickTop="1" thickBot="1" x14ac:dyDescent="0.35">
      <c r="A23" s="250"/>
      <c r="B23" s="278"/>
      <c r="C23" s="268"/>
      <c r="D23" s="268"/>
      <c r="E23" s="268"/>
      <c r="F23" s="251"/>
      <c r="G23" s="252"/>
      <c r="H23" s="14">
        <f t="shared" ref="H23" si="9">SUM(H18:H22)</f>
        <v>500</v>
      </c>
      <c r="I23" s="14">
        <f t="shared" ref="I23" si="10">SUM(I18:I22)</f>
        <v>11000</v>
      </c>
      <c r="J23" s="14">
        <f t="shared" ref="J23" si="11">SUM(J18:J22)</f>
        <v>3000</v>
      </c>
      <c r="K23" s="14">
        <f t="shared" ref="K23" si="12">SUM(K18:K22)</f>
        <v>0</v>
      </c>
      <c r="L23" s="14">
        <f>SUM(L18:L22)</f>
        <v>14500</v>
      </c>
      <c r="M23" s="14"/>
      <c r="N23" s="14">
        <f>M18-L23</f>
        <v>0</v>
      </c>
      <c r="O23" s="111"/>
      <c r="P23" s="14">
        <f>SUM(P18:P22)</f>
        <v>1500</v>
      </c>
    </row>
    <row r="24" spans="1:16" ht="15" thickTop="1" x14ac:dyDescent="0.3">
      <c r="A24" s="260">
        <f t="shared" ref="A24" si="13">A18+1</f>
        <v>4</v>
      </c>
      <c r="B24" s="261" t="s">
        <v>788</v>
      </c>
      <c r="C24" s="264" t="s">
        <v>181</v>
      </c>
      <c r="D24" s="280" t="s">
        <v>787</v>
      </c>
      <c r="E24" s="281" t="s">
        <v>293</v>
      </c>
      <c r="F24" s="39">
        <v>6698</v>
      </c>
      <c r="G24" s="47" t="s">
        <v>294</v>
      </c>
      <c r="H24" s="34">
        <v>500</v>
      </c>
      <c r="I24" s="34">
        <v>3500</v>
      </c>
      <c r="J24" s="34"/>
      <c r="K24" s="34"/>
      <c r="L24" s="34">
        <f>SUM(H24:K24)</f>
        <v>4000</v>
      </c>
      <c r="M24" s="249">
        <v>14500</v>
      </c>
      <c r="N24" s="34"/>
      <c r="O24" s="94" t="s">
        <v>295</v>
      </c>
      <c r="P24" s="34"/>
    </row>
    <row r="25" spans="1:16" x14ac:dyDescent="0.3">
      <c r="A25" s="249"/>
      <c r="B25" s="262"/>
      <c r="C25" s="265"/>
      <c r="D25" s="267"/>
      <c r="E25" s="267"/>
      <c r="F25" s="31">
        <v>9823</v>
      </c>
      <c r="G25" s="36" t="s">
        <v>620</v>
      </c>
      <c r="H25" s="36"/>
      <c r="I25" s="36">
        <v>2000</v>
      </c>
      <c r="J25" s="36">
        <v>3000</v>
      </c>
      <c r="K25" s="36"/>
      <c r="L25" s="34">
        <f t="shared" ref="L25:L28" si="14">SUM(H25:K25)</f>
        <v>5000</v>
      </c>
      <c r="M25" s="249"/>
      <c r="N25" s="36"/>
      <c r="O25" s="73"/>
      <c r="P25" s="36"/>
    </row>
    <row r="26" spans="1:16" x14ac:dyDescent="0.3">
      <c r="A26" s="249"/>
      <c r="B26" s="262"/>
      <c r="C26" s="265"/>
      <c r="D26" s="267"/>
      <c r="E26" s="267"/>
      <c r="F26" s="36">
        <v>6977</v>
      </c>
      <c r="G26" s="36" t="s">
        <v>786</v>
      </c>
      <c r="H26" s="36"/>
      <c r="I26" s="36">
        <v>5500</v>
      </c>
      <c r="J26" s="36"/>
      <c r="K26" s="36"/>
      <c r="L26" s="34">
        <f t="shared" si="14"/>
        <v>5500</v>
      </c>
      <c r="M26" s="249"/>
      <c r="N26" s="36"/>
      <c r="O26" s="81"/>
      <c r="P26" s="36"/>
    </row>
    <row r="27" spans="1:16" x14ac:dyDescent="0.3">
      <c r="A27" s="249"/>
      <c r="B27" s="262"/>
      <c r="C27" s="265"/>
      <c r="D27" s="267"/>
      <c r="E27" s="267"/>
      <c r="F27" s="36"/>
      <c r="G27" s="36"/>
      <c r="H27" s="36"/>
      <c r="I27" s="36"/>
      <c r="J27" s="36"/>
      <c r="K27" s="36"/>
      <c r="L27" s="34">
        <f t="shared" si="14"/>
        <v>0</v>
      </c>
      <c r="M27" s="249"/>
      <c r="N27" s="36"/>
      <c r="O27" s="73"/>
      <c r="P27" s="36"/>
    </row>
    <row r="28" spans="1:16" ht="15" thickBot="1" x14ac:dyDescent="0.35">
      <c r="A28" s="249"/>
      <c r="B28" s="262"/>
      <c r="C28" s="265"/>
      <c r="D28" s="267"/>
      <c r="E28" s="267"/>
      <c r="F28" s="41"/>
      <c r="G28" s="41"/>
      <c r="H28" s="41"/>
      <c r="I28" s="41"/>
      <c r="J28" s="41"/>
      <c r="K28" s="41"/>
      <c r="L28" s="34">
        <f t="shared" si="14"/>
        <v>0</v>
      </c>
      <c r="M28" s="250"/>
      <c r="N28" s="41"/>
      <c r="O28" s="93"/>
      <c r="P28" s="41"/>
    </row>
    <row r="29" spans="1:16" ht="15.6" thickTop="1" thickBot="1" x14ac:dyDescent="0.35">
      <c r="A29" s="250"/>
      <c r="B29" s="263"/>
      <c r="C29" s="266"/>
      <c r="D29" s="268"/>
      <c r="E29" s="268"/>
      <c r="F29" s="251"/>
      <c r="G29" s="252"/>
      <c r="H29" s="14">
        <f t="shared" ref="H29" si="15">SUM(H24:H28)</f>
        <v>500</v>
      </c>
      <c r="I29" s="14">
        <f t="shared" ref="I29" si="16">SUM(I24:I28)</f>
        <v>11000</v>
      </c>
      <c r="J29" s="14">
        <f t="shared" ref="J29" si="17">SUM(J24:J28)</f>
        <v>3000</v>
      </c>
      <c r="K29" s="14">
        <f t="shared" ref="K29" si="18">SUM(K24:K28)</f>
        <v>0</v>
      </c>
      <c r="L29" s="14">
        <f>SUM(L24:L28)</f>
        <v>14500</v>
      </c>
      <c r="M29" s="14"/>
      <c r="N29" s="14">
        <f>M24-L29</f>
        <v>0</v>
      </c>
      <c r="O29" s="111"/>
      <c r="P29" s="14">
        <f>SUM(P24:P28)</f>
        <v>0</v>
      </c>
    </row>
    <row r="30" spans="1:16" ht="15.75" customHeight="1" thickTop="1" x14ac:dyDescent="0.3">
      <c r="A30" s="248">
        <f t="shared" ref="A30" si="19">A24+1</f>
        <v>5</v>
      </c>
      <c r="B30" s="253" t="s">
        <v>300</v>
      </c>
      <c r="C30" s="321" t="s">
        <v>668</v>
      </c>
      <c r="D30" s="321" t="s">
        <v>301</v>
      </c>
      <c r="E30" s="259" t="s">
        <v>302</v>
      </c>
      <c r="F30" s="3">
        <v>6695</v>
      </c>
      <c r="G30" s="29" t="s">
        <v>303</v>
      </c>
      <c r="H30" s="20">
        <v>500</v>
      </c>
      <c r="I30" s="20">
        <v>3000</v>
      </c>
      <c r="J30" s="20"/>
      <c r="K30" s="20"/>
      <c r="L30" s="20">
        <f>SUM(H30:K30)</f>
        <v>3500</v>
      </c>
      <c r="M30" s="241">
        <v>14500</v>
      </c>
      <c r="N30" s="20"/>
      <c r="O30" s="86"/>
      <c r="P30" s="20">
        <v>1500</v>
      </c>
    </row>
    <row r="31" spans="1:16" x14ac:dyDescent="0.3">
      <c r="A31" s="241"/>
      <c r="B31" s="254"/>
      <c r="C31" s="257"/>
      <c r="D31" s="257"/>
      <c r="E31" s="257"/>
      <c r="F31" s="16">
        <v>6992</v>
      </c>
      <c r="G31" s="4" t="s">
        <v>766</v>
      </c>
      <c r="H31" s="4"/>
      <c r="I31" s="4">
        <v>2000</v>
      </c>
      <c r="J31" s="4">
        <v>3000</v>
      </c>
      <c r="K31" s="4"/>
      <c r="L31" s="20">
        <f t="shared" ref="L31:L34" si="20">SUM(H31:K31)</f>
        <v>5000</v>
      </c>
      <c r="M31" s="241"/>
      <c r="N31" s="4"/>
      <c r="O31" s="71"/>
      <c r="P31" s="4"/>
    </row>
    <row r="32" spans="1:16" x14ac:dyDescent="0.3">
      <c r="A32" s="241"/>
      <c r="B32" s="254"/>
      <c r="C32" s="257"/>
      <c r="D32" s="257"/>
      <c r="E32" s="257"/>
      <c r="F32" s="4"/>
      <c r="G32" s="4"/>
      <c r="H32" s="4"/>
      <c r="I32" s="4"/>
      <c r="J32" s="4"/>
      <c r="K32" s="4"/>
      <c r="L32" s="20">
        <f t="shared" si="20"/>
        <v>0</v>
      </c>
      <c r="M32" s="241"/>
      <c r="N32" s="4"/>
      <c r="O32" s="78"/>
      <c r="P32" s="4"/>
    </row>
    <row r="33" spans="1:16" x14ac:dyDescent="0.3">
      <c r="A33" s="241"/>
      <c r="B33" s="254"/>
      <c r="C33" s="257"/>
      <c r="D33" s="257"/>
      <c r="E33" s="257"/>
      <c r="F33" s="4"/>
      <c r="G33" s="4"/>
      <c r="H33" s="4"/>
      <c r="I33" s="4"/>
      <c r="J33" s="4"/>
      <c r="K33" s="4"/>
      <c r="L33" s="20">
        <f t="shared" si="20"/>
        <v>0</v>
      </c>
      <c r="M33" s="241"/>
      <c r="N33" s="4"/>
      <c r="O33" s="71"/>
      <c r="P33" s="4"/>
    </row>
    <row r="34" spans="1:16" ht="15" thickBot="1" x14ac:dyDescent="0.35">
      <c r="A34" s="241"/>
      <c r="B34" s="254"/>
      <c r="C34" s="257"/>
      <c r="D34" s="257"/>
      <c r="E34" s="257"/>
      <c r="F34" s="6"/>
      <c r="G34" s="6"/>
      <c r="H34" s="6"/>
      <c r="I34" s="6"/>
      <c r="J34" s="6"/>
      <c r="K34" s="6"/>
      <c r="L34" s="20">
        <f t="shared" si="20"/>
        <v>0</v>
      </c>
      <c r="M34" s="242"/>
      <c r="N34" s="6"/>
      <c r="O34" s="87"/>
      <c r="P34" s="6"/>
    </row>
    <row r="35" spans="1:16" ht="15.6" thickTop="1" thickBot="1" x14ac:dyDescent="0.35">
      <c r="A35" s="242"/>
      <c r="B35" s="255"/>
      <c r="C35" s="258"/>
      <c r="D35" s="258"/>
      <c r="E35" s="258"/>
      <c r="F35" s="243"/>
      <c r="G35" s="244"/>
      <c r="H35" s="8">
        <f t="shared" ref="H35" si="21">SUM(H30:H34)</f>
        <v>500</v>
      </c>
      <c r="I35" s="8">
        <f t="shared" ref="I35" si="22">SUM(I30:I34)</f>
        <v>5000</v>
      </c>
      <c r="J35" s="8">
        <f t="shared" ref="J35" si="23">SUM(J30:J34)</f>
        <v>3000</v>
      </c>
      <c r="K35" s="8">
        <f t="shared" ref="K35" si="24">SUM(K30:K34)</f>
        <v>0</v>
      </c>
      <c r="L35" s="8">
        <f>SUM(L30:L34)</f>
        <v>8500</v>
      </c>
      <c r="M35" s="8"/>
      <c r="N35" s="8">
        <f>M30-L35</f>
        <v>6000</v>
      </c>
      <c r="O35" s="100"/>
      <c r="P35" s="8">
        <f>SUM(P30:P34)</f>
        <v>1500</v>
      </c>
    </row>
    <row r="36" spans="1:16" ht="15.75" customHeight="1" thickTop="1" x14ac:dyDescent="0.3">
      <c r="A36" s="248">
        <f t="shared" ref="A36" si="25">A30+1</f>
        <v>6</v>
      </c>
      <c r="B36" s="283" t="s">
        <v>308</v>
      </c>
      <c r="C36" s="286" t="s">
        <v>202</v>
      </c>
      <c r="D36" s="257" t="s">
        <v>335</v>
      </c>
      <c r="E36" s="297" t="s">
        <v>309</v>
      </c>
      <c r="F36" s="3">
        <v>6692</v>
      </c>
      <c r="G36" s="29" t="s">
        <v>307</v>
      </c>
      <c r="H36" s="20">
        <v>500</v>
      </c>
      <c r="I36" s="20">
        <v>3000</v>
      </c>
      <c r="J36" s="20">
        <v>3000</v>
      </c>
      <c r="K36" s="20"/>
      <c r="L36" s="20">
        <f>SUM(H36:K36)</f>
        <v>6500</v>
      </c>
      <c r="M36" s="241">
        <v>14500</v>
      </c>
      <c r="N36" s="20"/>
      <c r="O36" s="86" t="s">
        <v>240</v>
      </c>
      <c r="P36" s="20">
        <v>1500</v>
      </c>
    </row>
    <row r="37" spans="1:16" x14ac:dyDescent="0.3">
      <c r="A37" s="241"/>
      <c r="B37" s="284"/>
      <c r="C37" s="287"/>
      <c r="D37" s="257"/>
      <c r="E37" s="287"/>
      <c r="F37" s="16"/>
      <c r="G37" s="4"/>
      <c r="H37" s="4"/>
      <c r="I37" s="4"/>
      <c r="J37" s="4"/>
      <c r="K37" s="4"/>
      <c r="L37" s="20">
        <f t="shared" ref="L37:L40" si="26">SUM(H37:K37)</f>
        <v>0</v>
      </c>
      <c r="M37" s="241"/>
      <c r="N37" s="4"/>
      <c r="O37" s="71"/>
      <c r="P37" s="4"/>
    </row>
    <row r="38" spans="1:16" x14ac:dyDescent="0.3">
      <c r="A38" s="241"/>
      <c r="B38" s="284"/>
      <c r="C38" s="287"/>
      <c r="D38" s="257"/>
      <c r="E38" s="287"/>
      <c r="F38" s="4"/>
      <c r="G38" s="4"/>
      <c r="H38" s="4"/>
      <c r="I38" s="4"/>
      <c r="J38" s="4"/>
      <c r="K38" s="4"/>
      <c r="L38" s="20">
        <f t="shared" si="26"/>
        <v>0</v>
      </c>
      <c r="M38" s="241"/>
      <c r="N38" s="4"/>
      <c r="O38" s="78"/>
      <c r="P38" s="4"/>
    </row>
    <row r="39" spans="1:16" x14ac:dyDescent="0.3">
      <c r="A39" s="241"/>
      <c r="B39" s="284"/>
      <c r="C39" s="287"/>
      <c r="D39" s="257"/>
      <c r="E39" s="287"/>
      <c r="F39" s="4"/>
      <c r="G39" s="4"/>
      <c r="H39" s="4"/>
      <c r="I39" s="4"/>
      <c r="J39" s="4"/>
      <c r="K39" s="4"/>
      <c r="L39" s="20">
        <f t="shared" si="26"/>
        <v>0</v>
      </c>
      <c r="M39" s="241"/>
      <c r="N39" s="4"/>
      <c r="O39" s="71"/>
      <c r="P39" s="4"/>
    </row>
    <row r="40" spans="1:16" ht="15" thickBot="1" x14ac:dyDescent="0.35">
      <c r="A40" s="241"/>
      <c r="B40" s="284"/>
      <c r="C40" s="287"/>
      <c r="D40" s="257"/>
      <c r="E40" s="287"/>
      <c r="F40" s="6"/>
      <c r="G40" s="6"/>
      <c r="H40" s="6"/>
      <c r="I40" s="6"/>
      <c r="J40" s="6"/>
      <c r="K40" s="6"/>
      <c r="L40" s="20">
        <f t="shared" si="26"/>
        <v>0</v>
      </c>
      <c r="M40" s="242"/>
      <c r="N40" s="6"/>
      <c r="O40" s="87"/>
      <c r="P40" s="6"/>
    </row>
    <row r="41" spans="1:16" ht="15.6" thickTop="1" thickBot="1" x14ac:dyDescent="0.35">
      <c r="A41" s="242"/>
      <c r="B41" s="285"/>
      <c r="C41" s="288"/>
      <c r="D41" s="258"/>
      <c r="E41" s="288"/>
      <c r="F41" s="243"/>
      <c r="G41" s="244"/>
      <c r="H41" s="8">
        <f t="shared" ref="H41" si="27">SUM(H36:H40)</f>
        <v>500</v>
      </c>
      <c r="I41" s="8">
        <f t="shared" ref="I41" si="28">SUM(I36:I40)</f>
        <v>3000</v>
      </c>
      <c r="J41" s="8">
        <f t="shared" ref="J41" si="29">SUM(J36:J40)</f>
        <v>3000</v>
      </c>
      <c r="K41" s="8">
        <f t="shared" ref="K41" si="30">SUM(K36:K40)</f>
        <v>0</v>
      </c>
      <c r="L41" s="8">
        <f>SUM(L36:L40)</f>
        <v>6500</v>
      </c>
      <c r="M41" s="8"/>
      <c r="N41" s="8">
        <f>M36-L41</f>
        <v>8000</v>
      </c>
      <c r="O41" s="100"/>
      <c r="P41" s="8">
        <f>SUM(P36:P40)</f>
        <v>1500</v>
      </c>
    </row>
    <row r="42" spans="1:16" ht="15.75" customHeight="1" thickTop="1" x14ac:dyDescent="0.3">
      <c r="A42" s="260">
        <f t="shared" ref="A42" si="31">A36+1</f>
        <v>7</v>
      </c>
      <c r="B42" s="279" t="s">
        <v>310</v>
      </c>
      <c r="C42" s="280" t="s">
        <v>312</v>
      </c>
      <c r="D42" s="280" t="s">
        <v>313</v>
      </c>
      <c r="E42" s="281" t="s">
        <v>314</v>
      </c>
      <c r="F42" s="39">
        <v>6751</v>
      </c>
      <c r="G42" s="47" t="s">
        <v>284</v>
      </c>
      <c r="H42" s="34">
        <v>500</v>
      </c>
      <c r="I42" s="34">
        <v>11000</v>
      </c>
      <c r="J42" s="34">
        <v>3000</v>
      </c>
      <c r="K42" s="34"/>
      <c r="L42" s="34">
        <f>SUM(H42:K42)</f>
        <v>14500</v>
      </c>
      <c r="M42" s="249">
        <v>14500</v>
      </c>
      <c r="N42" s="34"/>
      <c r="O42" s="94" t="s">
        <v>295</v>
      </c>
      <c r="P42" s="34"/>
    </row>
    <row r="43" spans="1:16" x14ac:dyDescent="0.3">
      <c r="A43" s="249"/>
      <c r="B43" s="277"/>
      <c r="C43" s="267"/>
      <c r="D43" s="267"/>
      <c r="E43" s="267"/>
      <c r="F43" s="31"/>
      <c r="G43" s="36"/>
      <c r="H43" s="36"/>
      <c r="I43" s="36"/>
      <c r="J43" s="36"/>
      <c r="K43" s="36"/>
      <c r="L43" s="34">
        <f t="shared" ref="L43:L46" si="32">SUM(H43:K43)</f>
        <v>0</v>
      </c>
      <c r="M43" s="249"/>
      <c r="N43" s="36"/>
      <c r="O43" s="73"/>
      <c r="P43" s="36"/>
    </row>
    <row r="44" spans="1:16" x14ac:dyDescent="0.3">
      <c r="A44" s="249"/>
      <c r="B44" s="277"/>
      <c r="C44" s="267"/>
      <c r="D44" s="267"/>
      <c r="E44" s="267"/>
      <c r="F44" s="36"/>
      <c r="G44" s="36"/>
      <c r="H44" s="36"/>
      <c r="I44" s="36"/>
      <c r="J44" s="36"/>
      <c r="K44" s="36"/>
      <c r="L44" s="34">
        <f t="shared" si="32"/>
        <v>0</v>
      </c>
      <c r="M44" s="249"/>
      <c r="N44" s="36"/>
      <c r="O44" s="81"/>
      <c r="P44" s="36"/>
    </row>
    <row r="45" spans="1:16" x14ac:dyDescent="0.3">
      <c r="A45" s="249"/>
      <c r="B45" s="277"/>
      <c r="C45" s="267"/>
      <c r="D45" s="267"/>
      <c r="E45" s="267"/>
      <c r="F45" s="36"/>
      <c r="G45" s="36"/>
      <c r="H45" s="36"/>
      <c r="I45" s="36"/>
      <c r="J45" s="36"/>
      <c r="K45" s="36"/>
      <c r="L45" s="34">
        <f t="shared" si="32"/>
        <v>0</v>
      </c>
      <c r="M45" s="249"/>
      <c r="N45" s="36"/>
      <c r="O45" s="73"/>
      <c r="P45" s="36"/>
    </row>
    <row r="46" spans="1:16" ht="15" thickBot="1" x14ac:dyDescent="0.35">
      <c r="A46" s="249"/>
      <c r="B46" s="277"/>
      <c r="C46" s="267"/>
      <c r="D46" s="267"/>
      <c r="E46" s="267"/>
      <c r="F46" s="41"/>
      <c r="G46" s="41"/>
      <c r="H46" s="41"/>
      <c r="I46" s="41"/>
      <c r="J46" s="41"/>
      <c r="K46" s="41"/>
      <c r="L46" s="34">
        <f t="shared" si="32"/>
        <v>0</v>
      </c>
      <c r="M46" s="250"/>
      <c r="N46" s="41"/>
      <c r="O46" s="93"/>
      <c r="P46" s="41"/>
    </row>
    <row r="47" spans="1:16" ht="15.6" thickTop="1" thickBot="1" x14ac:dyDescent="0.35">
      <c r="A47" s="250"/>
      <c r="B47" s="278"/>
      <c r="C47" s="268"/>
      <c r="D47" s="268"/>
      <c r="E47" s="268"/>
      <c r="F47" s="251"/>
      <c r="G47" s="252"/>
      <c r="H47" s="14">
        <f t="shared" ref="H47" si="33">SUM(H42:H46)</f>
        <v>500</v>
      </c>
      <c r="I47" s="14">
        <f t="shared" ref="I47" si="34">SUM(I42:I46)</f>
        <v>11000</v>
      </c>
      <c r="J47" s="14">
        <f t="shared" ref="J47" si="35">SUM(J42:J46)</f>
        <v>3000</v>
      </c>
      <c r="K47" s="14">
        <f t="shared" ref="K47" si="36">SUM(K42:K46)</f>
        <v>0</v>
      </c>
      <c r="L47" s="14">
        <f>SUM(L42:L46)</f>
        <v>14500</v>
      </c>
      <c r="M47" s="14"/>
      <c r="N47" s="14">
        <f>M42-L47</f>
        <v>0</v>
      </c>
      <c r="O47" s="111"/>
      <c r="P47" s="14">
        <f>SUM(P42:P46)</f>
        <v>0</v>
      </c>
    </row>
    <row r="48" spans="1:16" ht="15.75" customHeight="1" thickTop="1" x14ac:dyDescent="0.3">
      <c r="A48" s="248">
        <v>8</v>
      </c>
      <c r="B48" s="322" t="s">
        <v>328</v>
      </c>
      <c r="C48" s="325" t="s">
        <v>74</v>
      </c>
      <c r="D48" s="325" t="s">
        <v>311</v>
      </c>
      <c r="E48" s="292" t="s">
        <v>329</v>
      </c>
      <c r="F48" s="3">
        <v>6739</v>
      </c>
      <c r="G48" s="29" t="s">
        <v>292</v>
      </c>
      <c r="H48" s="20">
        <v>500</v>
      </c>
      <c r="I48" s="20">
        <v>2000</v>
      </c>
      <c r="J48" s="20">
        <v>3000</v>
      </c>
      <c r="K48" s="20"/>
      <c r="L48" s="20">
        <f>SUM(H48:K48)</f>
        <v>5500</v>
      </c>
      <c r="M48" s="241">
        <v>14500</v>
      </c>
      <c r="N48" s="20"/>
      <c r="O48" s="86" t="s">
        <v>295</v>
      </c>
      <c r="P48" s="20"/>
    </row>
    <row r="49" spans="1:16" x14ac:dyDescent="0.3">
      <c r="A49" s="241"/>
      <c r="B49" s="323"/>
      <c r="C49" s="326"/>
      <c r="D49" s="326"/>
      <c r="E49" s="287"/>
      <c r="F49" s="16">
        <v>7016</v>
      </c>
      <c r="G49" s="4" t="s">
        <v>832</v>
      </c>
      <c r="H49" s="4"/>
      <c r="I49" s="4">
        <v>4500</v>
      </c>
      <c r="J49" s="4"/>
      <c r="K49" s="4"/>
      <c r="L49" s="20">
        <f t="shared" ref="L49:L52" si="37">SUM(H49:K49)</f>
        <v>4500</v>
      </c>
      <c r="M49" s="241"/>
      <c r="N49" s="4"/>
      <c r="O49" s="71"/>
      <c r="P49" s="4"/>
    </row>
    <row r="50" spans="1:16" x14ac:dyDescent="0.3">
      <c r="A50" s="241"/>
      <c r="B50" s="323"/>
      <c r="C50" s="326"/>
      <c r="D50" s="326"/>
      <c r="E50" s="287"/>
      <c r="F50" s="4"/>
      <c r="G50" s="4"/>
      <c r="H50" s="4"/>
      <c r="I50" s="4"/>
      <c r="J50" s="4"/>
      <c r="K50" s="4"/>
      <c r="L50" s="20">
        <f t="shared" si="37"/>
        <v>0</v>
      </c>
      <c r="M50" s="241"/>
      <c r="N50" s="4"/>
      <c r="O50" s="78"/>
      <c r="P50" s="4"/>
    </row>
    <row r="51" spans="1:16" x14ac:dyDescent="0.3">
      <c r="A51" s="241"/>
      <c r="B51" s="323"/>
      <c r="C51" s="326"/>
      <c r="D51" s="326"/>
      <c r="E51" s="287"/>
      <c r="F51" s="4"/>
      <c r="G51" s="4"/>
      <c r="H51" s="4"/>
      <c r="I51" s="4"/>
      <c r="J51" s="4"/>
      <c r="K51" s="4"/>
      <c r="L51" s="20">
        <f t="shared" si="37"/>
        <v>0</v>
      </c>
      <c r="M51" s="241"/>
      <c r="N51" s="4"/>
      <c r="O51" s="71"/>
      <c r="P51" s="4"/>
    </row>
    <row r="52" spans="1:16" ht="15" thickBot="1" x14ac:dyDescent="0.35">
      <c r="A52" s="241"/>
      <c r="B52" s="323"/>
      <c r="C52" s="326"/>
      <c r="D52" s="326"/>
      <c r="E52" s="287"/>
      <c r="F52" s="6"/>
      <c r="G52" s="6"/>
      <c r="H52" s="6"/>
      <c r="I52" s="6"/>
      <c r="J52" s="6"/>
      <c r="K52" s="6"/>
      <c r="L52" s="20">
        <f t="shared" si="37"/>
        <v>0</v>
      </c>
      <c r="M52" s="242"/>
      <c r="N52" s="6"/>
      <c r="O52" s="87"/>
      <c r="P52" s="6"/>
    </row>
    <row r="53" spans="1:16" ht="15.6" thickTop="1" thickBot="1" x14ac:dyDescent="0.35">
      <c r="A53" s="242"/>
      <c r="B53" s="324"/>
      <c r="C53" s="327"/>
      <c r="D53" s="327"/>
      <c r="E53" s="288"/>
      <c r="F53" s="243"/>
      <c r="G53" s="244"/>
      <c r="H53" s="8">
        <f t="shared" ref="H53" si="38">SUM(H48:H52)</f>
        <v>500</v>
      </c>
      <c r="I53" s="8">
        <f t="shared" ref="I53" si="39">SUM(I48:I52)</f>
        <v>6500</v>
      </c>
      <c r="J53" s="8">
        <f t="shared" ref="J53" si="40">SUM(J48:J52)</f>
        <v>3000</v>
      </c>
      <c r="K53" s="8">
        <f t="shared" ref="K53" si="41">SUM(K48:K52)</f>
        <v>0</v>
      </c>
      <c r="L53" s="8">
        <f>SUM(L48:L52)</f>
        <v>10000</v>
      </c>
      <c r="M53" s="8"/>
      <c r="N53" s="8">
        <f>M48-L53</f>
        <v>4500</v>
      </c>
      <c r="O53" s="100"/>
      <c r="P53" s="8">
        <f>SUM(P48:P52)</f>
        <v>0</v>
      </c>
    </row>
    <row r="54" spans="1:16" ht="15.75" customHeight="1" thickTop="1" x14ac:dyDescent="0.3">
      <c r="A54" s="260">
        <f t="shared" ref="A54" si="42">A48+1</f>
        <v>9</v>
      </c>
      <c r="B54" s="279" t="s">
        <v>334</v>
      </c>
      <c r="C54" s="280" t="s">
        <v>141</v>
      </c>
      <c r="D54" s="280" t="s">
        <v>335</v>
      </c>
      <c r="E54" s="296" t="s">
        <v>336</v>
      </c>
      <c r="F54" s="39">
        <v>6734</v>
      </c>
      <c r="G54" s="47" t="s">
        <v>333</v>
      </c>
      <c r="H54" s="34">
        <v>500</v>
      </c>
      <c r="I54" s="34">
        <v>3000</v>
      </c>
      <c r="J54" s="34"/>
      <c r="K54" s="34"/>
      <c r="L54" s="34">
        <f>SUM(H54:K54)</f>
        <v>3500</v>
      </c>
      <c r="M54" s="249">
        <v>14500</v>
      </c>
      <c r="N54" s="34"/>
      <c r="O54" s="94"/>
      <c r="P54" s="34">
        <v>1500</v>
      </c>
    </row>
    <row r="55" spans="1:16" x14ac:dyDescent="0.3">
      <c r="A55" s="249"/>
      <c r="B55" s="277"/>
      <c r="C55" s="267"/>
      <c r="D55" s="267"/>
      <c r="E55" s="265"/>
      <c r="F55" s="31">
        <v>6951</v>
      </c>
      <c r="G55" s="36" t="s">
        <v>530</v>
      </c>
      <c r="H55" s="36"/>
      <c r="I55" s="36">
        <v>8000</v>
      </c>
      <c r="J55" s="36">
        <v>3000</v>
      </c>
      <c r="K55" s="36"/>
      <c r="L55" s="34">
        <f t="shared" ref="L55:L58" si="43">SUM(H55:K55)</f>
        <v>11000</v>
      </c>
      <c r="M55" s="249"/>
      <c r="N55" s="36"/>
      <c r="O55" s="73"/>
      <c r="P55" s="36"/>
    </row>
    <row r="56" spans="1:16" x14ac:dyDescent="0.3">
      <c r="A56" s="249"/>
      <c r="B56" s="277"/>
      <c r="C56" s="267"/>
      <c r="D56" s="267"/>
      <c r="E56" s="265"/>
      <c r="F56" s="36"/>
      <c r="G56" s="36"/>
      <c r="H56" s="36"/>
      <c r="I56" s="36"/>
      <c r="J56" s="36"/>
      <c r="K56" s="36"/>
      <c r="L56" s="34">
        <f t="shared" si="43"/>
        <v>0</v>
      </c>
      <c r="M56" s="249"/>
      <c r="N56" s="36"/>
      <c r="O56" s="81"/>
      <c r="P56" s="36"/>
    </row>
    <row r="57" spans="1:16" x14ac:dyDescent="0.3">
      <c r="A57" s="249"/>
      <c r="B57" s="277"/>
      <c r="C57" s="267"/>
      <c r="D57" s="267"/>
      <c r="E57" s="265"/>
      <c r="F57" s="36"/>
      <c r="G57" s="36"/>
      <c r="H57" s="36"/>
      <c r="I57" s="36"/>
      <c r="J57" s="36"/>
      <c r="K57" s="36"/>
      <c r="L57" s="34">
        <f t="shared" si="43"/>
        <v>0</v>
      </c>
      <c r="M57" s="249"/>
      <c r="N57" s="36"/>
      <c r="O57" s="73"/>
      <c r="P57" s="36"/>
    </row>
    <row r="58" spans="1:16" ht="15" thickBot="1" x14ac:dyDescent="0.35">
      <c r="A58" s="249"/>
      <c r="B58" s="277"/>
      <c r="C58" s="267"/>
      <c r="D58" s="267"/>
      <c r="E58" s="265"/>
      <c r="F58" s="41"/>
      <c r="G58" s="41"/>
      <c r="H58" s="41"/>
      <c r="I58" s="41"/>
      <c r="J58" s="41"/>
      <c r="K58" s="41"/>
      <c r="L58" s="34">
        <f t="shared" si="43"/>
        <v>0</v>
      </c>
      <c r="M58" s="250"/>
      <c r="N58" s="41"/>
      <c r="O58" s="93"/>
      <c r="P58" s="41"/>
    </row>
    <row r="59" spans="1:16" ht="15.6" thickTop="1" thickBot="1" x14ac:dyDescent="0.35">
      <c r="A59" s="250"/>
      <c r="B59" s="278"/>
      <c r="C59" s="268"/>
      <c r="D59" s="268"/>
      <c r="E59" s="266"/>
      <c r="F59" s="251"/>
      <c r="G59" s="252"/>
      <c r="H59" s="14">
        <f t="shared" ref="H59" si="44">SUM(H54:H58)</f>
        <v>500</v>
      </c>
      <c r="I59" s="14">
        <f t="shared" ref="I59" si="45">SUM(I54:I58)</f>
        <v>11000</v>
      </c>
      <c r="J59" s="14">
        <f t="shared" ref="J59" si="46">SUM(J54:J58)</f>
        <v>3000</v>
      </c>
      <c r="K59" s="14">
        <f t="shared" ref="K59" si="47">SUM(K54:K58)</f>
        <v>0</v>
      </c>
      <c r="L59" s="14">
        <f>SUM(L54:L58)</f>
        <v>14500</v>
      </c>
      <c r="M59" s="14"/>
      <c r="N59" s="14">
        <f>M54-L59</f>
        <v>0</v>
      </c>
      <c r="O59" s="111"/>
      <c r="P59" s="14">
        <f>SUM(P54:P58)</f>
        <v>1500</v>
      </c>
    </row>
    <row r="60" spans="1:16" ht="15.75" customHeight="1" thickTop="1" x14ac:dyDescent="0.3">
      <c r="A60" s="300">
        <f t="shared" ref="A60" si="48">A54+1</f>
        <v>10</v>
      </c>
      <c r="B60" s="303" t="s">
        <v>337</v>
      </c>
      <c r="C60" s="306" t="s">
        <v>202</v>
      </c>
      <c r="D60" s="306" t="s">
        <v>335</v>
      </c>
      <c r="E60" s="309" t="s">
        <v>338</v>
      </c>
      <c r="F60" s="228">
        <v>6733</v>
      </c>
      <c r="G60" s="229" t="s">
        <v>339</v>
      </c>
      <c r="H60" s="230">
        <v>500</v>
      </c>
      <c r="I60" s="230">
        <v>1500</v>
      </c>
      <c r="J60" s="230">
        <v>3000</v>
      </c>
      <c r="K60" s="230"/>
      <c r="L60" s="230">
        <f>SUM(H60:K60)</f>
        <v>5000</v>
      </c>
      <c r="M60" s="301">
        <v>5000</v>
      </c>
      <c r="N60" s="230"/>
      <c r="O60" s="231" t="s">
        <v>872</v>
      </c>
      <c r="P60" s="230">
        <v>1500</v>
      </c>
    </row>
    <row r="61" spans="1:16" x14ac:dyDescent="0.3">
      <c r="A61" s="301"/>
      <c r="B61" s="304"/>
      <c r="C61" s="307"/>
      <c r="D61" s="307"/>
      <c r="E61" s="307"/>
      <c r="F61" s="232"/>
      <c r="G61" s="232"/>
      <c r="H61" s="232"/>
      <c r="I61" s="232"/>
      <c r="J61" s="232"/>
      <c r="K61" s="232"/>
      <c r="L61" s="230">
        <f t="shared" ref="L61:L64" si="49">SUM(H61:K61)</f>
        <v>0</v>
      </c>
      <c r="M61" s="301"/>
      <c r="N61" s="232"/>
      <c r="O61" s="233" t="s">
        <v>873</v>
      </c>
      <c r="P61" s="232"/>
    </row>
    <row r="62" spans="1:16" x14ac:dyDescent="0.3">
      <c r="A62" s="301"/>
      <c r="B62" s="304"/>
      <c r="C62" s="307"/>
      <c r="D62" s="307"/>
      <c r="E62" s="307"/>
      <c r="F62" s="232"/>
      <c r="G62" s="232"/>
      <c r="H62" s="232"/>
      <c r="I62" s="232"/>
      <c r="J62" s="232"/>
      <c r="K62" s="232"/>
      <c r="L62" s="230">
        <f t="shared" si="49"/>
        <v>0</v>
      </c>
      <c r="M62" s="301"/>
      <c r="N62" s="232"/>
      <c r="O62" s="234" t="s">
        <v>874</v>
      </c>
      <c r="P62" s="232"/>
    </row>
    <row r="63" spans="1:16" x14ac:dyDescent="0.3">
      <c r="A63" s="301"/>
      <c r="B63" s="304"/>
      <c r="C63" s="307"/>
      <c r="D63" s="307"/>
      <c r="E63" s="307"/>
      <c r="F63" s="232"/>
      <c r="G63" s="232"/>
      <c r="H63" s="232"/>
      <c r="I63" s="232"/>
      <c r="J63" s="232"/>
      <c r="K63" s="232"/>
      <c r="L63" s="230">
        <f t="shared" si="49"/>
        <v>0</v>
      </c>
      <c r="M63" s="301"/>
      <c r="N63" s="232"/>
      <c r="O63" s="233"/>
      <c r="P63" s="232"/>
    </row>
    <row r="64" spans="1:16" ht="15" thickBot="1" x14ac:dyDescent="0.35">
      <c r="A64" s="301"/>
      <c r="B64" s="304"/>
      <c r="C64" s="307"/>
      <c r="D64" s="307"/>
      <c r="E64" s="307"/>
      <c r="F64" s="235"/>
      <c r="G64" s="235"/>
      <c r="H64" s="235"/>
      <c r="I64" s="235"/>
      <c r="J64" s="235"/>
      <c r="K64" s="235"/>
      <c r="L64" s="230">
        <f t="shared" si="49"/>
        <v>0</v>
      </c>
      <c r="M64" s="302"/>
      <c r="N64" s="235"/>
      <c r="O64" s="236"/>
      <c r="P64" s="235"/>
    </row>
    <row r="65" spans="1:16" ht="15.6" thickTop="1" thickBot="1" x14ac:dyDescent="0.35">
      <c r="A65" s="302"/>
      <c r="B65" s="305"/>
      <c r="C65" s="308"/>
      <c r="D65" s="308"/>
      <c r="E65" s="308"/>
      <c r="F65" s="310"/>
      <c r="G65" s="311"/>
      <c r="H65" s="237">
        <f t="shared" ref="H65" si="50">SUM(H60:H64)</f>
        <v>500</v>
      </c>
      <c r="I65" s="237">
        <f t="shared" ref="I65" si="51">SUM(I60:I64)</f>
        <v>1500</v>
      </c>
      <c r="J65" s="237">
        <f t="shared" ref="J65" si="52">SUM(J60:J64)</f>
        <v>3000</v>
      </c>
      <c r="K65" s="237">
        <f t="shared" ref="K65" si="53">SUM(K60:K64)</f>
        <v>0</v>
      </c>
      <c r="L65" s="237">
        <f>SUM(L60:L64)</f>
        <v>5000</v>
      </c>
      <c r="M65" s="237"/>
      <c r="N65" s="237">
        <f>M60-L65</f>
        <v>0</v>
      </c>
      <c r="O65" s="238"/>
      <c r="P65" s="237">
        <f>SUM(P60:P64)</f>
        <v>1500</v>
      </c>
    </row>
    <row r="66" spans="1:16" ht="15" thickTop="1" x14ac:dyDescent="0.3">
      <c r="A66" s="282">
        <v>11</v>
      </c>
      <c r="B66" s="283" t="s">
        <v>342</v>
      </c>
      <c r="C66" s="286" t="s">
        <v>80</v>
      </c>
      <c r="D66" s="286" t="s">
        <v>341</v>
      </c>
      <c r="E66" s="292" t="s">
        <v>302</v>
      </c>
      <c r="F66" s="15">
        <v>6766</v>
      </c>
      <c r="G66" s="28" t="s">
        <v>343</v>
      </c>
      <c r="H66" s="20">
        <v>500</v>
      </c>
      <c r="I66" s="20">
        <v>3000</v>
      </c>
      <c r="J66" s="20">
        <v>3000</v>
      </c>
      <c r="K66" s="20"/>
      <c r="L66" s="20">
        <f>SUM(H66:K66)</f>
        <v>6500</v>
      </c>
      <c r="M66" s="241">
        <v>14500</v>
      </c>
      <c r="N66" s="20"/>
      <c r="O66" s="86" t="s">
        <v>240</v>
      </c>
      <c r="P66" s="20">
        <v>1500</v>
      </c>
    </row>
    <row r="67" spans="1:16" x14ac:dyDescent="0.3">
      <c r="A67" s="246"/>
      <c r="B67" s="284"/>
      <c r="C67" s="287"/>
      <c r="D67" s="287"/>
      <c r="E67" s="287"/>
      <c r="F67" s="16"/>
      <c r="G67" s="16"/>
      <c r="H67" s="4"/>
      <c r="I67" s="4"/>
      <c r="J67" s="4"/>
      <c r="K67" s="4"/>
      <c r="L67" s="20">
        <f t="shared" ref="L67:L70" si="54">SUM(H67:K67)</f>
        <v>0</v>
      </c>
      <c r="M67" s="241"/>
      <c r="N67" s="4"/>
      <c r="O67" s="71"/>
      <c r="P67" s="4"/>
    </row>
    <row r="68" spans="1:16" x14ac:dyDescent="0.3">
      <c r="A68" s="246"/>
      <c r="B68" s="284"/>
      <c r="C68" s="287"/>
      <c r="D68" s="287"/>
      <c r="E68" s="287"/>
      <c r="F68" s="16"/>
      <c r="G68" s="16"/>
      <c r="H68" s="4"/>
      <c r="I68" s="4"/>
      <c r="J68" s="4"/>
      <c r="K68" s="4"/>
      <c r="L68" s="20">
        <f t="shared" si="54"/>
        <v>0</v>
      </c>
      <c r="M68" s="241"/>
      <c r="N68" s="4"/>
      <c r="O68" s="78"/>
      <c r="P68" s="4"/>
    </row>
    <row r="69" spans="1:16" x14ac:dyDescent="0.3">
      <c r="A69" s="246"/>
      <c r="B69" s="284"/>
      <c r="C69" s="287"/>
      <c r="D69" s="287"/>
      <c r="E69" s="287"/>
      <c r="F69" s="16"/>
      <c r="G69" s="16"/>
      <c r="H69" s="4"/>
      <c r="I69" s="4"/>
      <c r="J69" s="4"/>
      <c r="K69" s="4"/>
      <c r="L69" s="20">
        <f t="shared" si="54"/>
        <v>0</v>
      </c>
      <c r="M69" s="241"/>
      <c r="N69" s="4"/>
      <c r="O69" s="71"/>
      <c r="P69" s="4"/>
    </row>
    <row r="70" spans="1:16" ht="15" thickBot="1" x14ac:dyDescent="0.35">
      <c r="A70" s="246"/>
      <c r="B70" s="284"/>
      <c r="C70" s="287"/>
      <c r="D70" s="287"/>
      <c r="E70" s="287"/>
      <c r="F70" s="17"/>
      <c r="G70" s="17"/>
      <c r="H70" s="6"/>
      <c r="I70" s="6"/>
      <c r="J70" s="6"/>
      <c r="K70" s="6"/>
      <c r="L70" s="20">
        <f t="shared" si="54"/>
        <v>0</v>
      </c>
      <c r="M70" s="242"/>
      <c r="N70" s="6"/>
      <c r="O70" s="87"/>
      <c r="P70" s="6"/>
    </row>
    <row r="71" spans="1:16" ht="15.6" thickTop="1" thickBot="1" x14ac:dyDescent="0.35">
      <c r="A71" s="247"/>
      <c r="B71" s="285"/>
      <c r="C71" s="288"/>
      <c r="D71" s="288"/>
      <c r="E71" s="288"/>
      <c r="F71" s="298"/>
      <c r="G71" s="299"/>
      <c r="H71" s="8">
        <f t="shared" ref="H71" si="55">SUM(H66:H70)</f>
        <v>500</v>
      </c>
      <c r="I71" s="8">
        <f t="shared" ref="I71" si="56">SUM(I66:I70)</f>
        <v>3000</v>
      </c>
      <c r="J71" s="8">
        <f t="shared" ref="J71" si="57">SUM(J66:J70)</f>
        <v>3000</v>
      </c>
      <c r="K71" s="8">
        <f t="shared" ref="K71" si="58">SUM(K66:K70)</f>
        <v>0</v>
      </c>
      <c r="L71" s="8">
        <f>SUM(L66:L70)</f>
        <v>6500</v>
      </c>
      <c r="M71" s="8"/>
      <c r="N71" s="8">
        <f>M66-L71</f>
        <v>8000</v>
      </c>
      <c r="O71" s="100"/>
      <c r="P71" s="8">
        <f>SUM(P66:P70)</f>
        <v>1500</v>
      </c>
    </row>
    <row r="72" spans="1:16" ht="15" thickTop="1" x14ac:dyDescent="0.3">
      <c r="A72" s="248">
        <f t="shared" ref="A72" si="59">A66+1</f>
        <v>12</v>
      </c>
      <c r="B72" s="287" t="s">
        <v>344</v>
      </c>
      <c r="C72" s="287" t="s">
        <v>189</v>
      </c>
      <c r="D72" s="256" t="s">
        <v>345</v>
      </c>
      <c r="E72" s="292" t="s">
        <v>346</v>
      </c>
      <c r="F72" s="3">
        <v>6762</v>
      </c>
      <c r="G72" s="29" t="s">
        <v>343</v>
      </c>
      <c r="H72" s="20">
        <v>500</v>
      </c>
      <c r="I72" s="20">
        <v>3500</v>
      </c>
      <c r="J72" s="20">
        <v>3000</v>
      </c>
      <c r="K72" s="20"/>
      <c r="L72" s="20">
        <f>SUM(H72:K72)</f>
        <v>7000</v>
      </c>
      <c r="M72" s="241">
        <v>14500</v>
      </c>
      <c r="N72" s="20"/>
      <c r="O72" s="86" t="s">
        <v>295</v>
      </c>
      <c r="P72" s="20"/>
    </row>
    <row r="73" spans="1:16" x14ac:dyDescent="0.3">
      <c r="A73" s="241"/>
      <c r="B73" s="287"/>
      <c r="C73" s="287"/>
      <c r="D73" s="257"/>
      <c r="E73" s="287"/>
      <c r="F73" s="16"/>
      <c r="G73" s="4"/>
      <c r="H73" s="4"/>
      <c r="I73" s="4"/>
      <c r="J73" s="4"/>
      <c r="K73" s="4"/>
      <c r="L73" s="20">
        <f t="shared" ref="L73:L76" si="60">SUM(H73:K73)</f>
        <v>0</v>
      </c>
      <c r="M73" s="241"/>
      <c r="N73" s="4"/>
      <c r="O73" s="71"/>
      <c r="P73" s="4"/>
    </row>
    <row r="74" spans="1:16" x14ac:dyDescent="0.3">
      <c r="A74" s="241"/>
      <c r="B74" s="287"/>
      <c r="C74" s="287"/>
      <c r="D74" s="257"/>
      <c r="E74" s="287"/>
      <c r="F74" s="4"/>
      <c r="G74" s="4"/>
      <c r="H74" s="4"/>
      <c r="I74" s="4"/>
      <c r="J74" s="4"/>
      <c r="K74" s="4"/>
      <c r="L74" s="20">
        <f t="shared" si="60"/>
        <v>0</v>
      </c>
      <c r="M74" s="241"/>
      <c r="N74" s="4"/>
      <c r="O74" s="78"/>
      <c r="P74" s="4"/>
    </row>
    <row r="75" spans="1:16" x14ac:dyDescent="0.3">
      <c r="A75" s="241"/>
      <c r="B75" s="287"/>
      <c r="C75" s="287"/>
      <c r="D75" s="257"/>
      <c r="E75" s="287"/>
      <c r="F75" s="4"/>
      <c r="G75" s="4"/>
      <c r="H75" s="4"/>
      <c r="I75" s="4"/>
      <c r="J75" s="4"/>
      <c r="K75" s="4"/>
      <c r="L75" s="20">
        <f t="shared" si="60"/>
        <v>0</v>
      </c>
      <c r="M75" s="241"/>
      <c r="N75" s="4"/>
      <c r="O75" s="71"/>
      <c r="P75" s="4"/>
    </row>
    <row r="76" spans="1:16" ht="15" thickBot="1" x14ac:dyDescent="0.35">
      <c r="A76" s="241"/>
      <c r="B76" s="287"/>
      <c r="C76" s="287"/>
      <c r="D76" s="257"/>
      <c r="E76" s="287"/>
      <c r="F76" s="6"/>
      <c r="G76" s="6"/>
      <c r="H76" s="6"/>
      <c r="I76" s="6"/>
      <c r="J76" s="6"/>
      <c r="K76" s="6"/>
      <c r="L76" s="20">
        <f t="shared" si="60"/>
        <v>0</v>
      </c>
      <c r="M76" s="242"/>
      <c r="N76" s="6"/>
      <c r="O76" s="87"/>
      <c r="P76" s="6"/>
    </row>
    <row r="77" spans="1:16" ht="15.6" thickTop="1" thickBot="1" x14ac:dyDescent="0.35">
      <c r="A77" s="242"/>
      <c r="B77" s="288"/>
      <c r="C77" s="288"/>
      <c r="D77" s="258"/>
      <c r="E77" s="288"/>
      <c r="F77" s="243"/>
      <c r="G77" s="244"/>
      <c r="H77" s="8">
        <f t="shared" ref="H77" si="61">SUM(H72:H76)</f>
        <v>500</v>
      </c>
      <c r="I77" s="8">
        <f t="shared" ref="I77" si="62">SUM(I72:I76)</f>
        <v>3500</v>
      </c>
      <c r="J77" s="8">
        <f t="shared" ref="J77" si="63">SUM(J72:J76)</f>
        <v>3000</v>
      </c>
      <c r="K77" s="8">
        <f t="shared" ref="K77" si="64">SUM(K72:K76)</f>
        <v>0</v>
      </c>
      <c r="L77" s="8">
        <f>SUM(L72:L76)</f>
        <v>7000</v>
      </c>
      <c r="M77" s="8"/>
      <c r="N77" s="8">
        <f>M72-L77</f>
        <v>7500</v>
      </c>
      <c r="O77" s="100"/>
      <c r="P77" s="8">
        <f>SUM(P72:P76)</f>
        <v>0</v>
      </c>
    </row>
    <row r="78" spans="1:16" ht="15" thickTop="1" x14ac:dyDescent="0.3">
      <c r="A78" s="248">
        <f t="shared" ref="A78" si="65">A72+1</f>
        <v>13</v>
      </c>
      <c r="B78" s="253" t="s">
        <v>347</v>
      </c>
      <c r="C78" s="256" t="s">
        <v>189</v>
      </c>
      <c r="D78" s="256" t="s">
        <v>348</v>
      </c>
      <c r="E78" s="292" t="s">
        <v>302</v>
      </c>
      <c r="F78" s="3">
        <v>6763</v>
      </c>
      <c r="G78" s="29" t="s">
        <v>343</v>
      </c>
      <c r="H78" s="20">
        <v>500</v>
      </c>
      <c r="I78" s="20">
        <v>3000</v>
      </c>
      <c r="J78" s="20">
        <v>3000</v>
      </c>
      <c r="K78" s="20"/>
      <c r="L78" s="20">
        <f>SUM(H78:K78)</f>
        <v>6500</v>
      </c>
      <c r="M78" s="241">
        <v>14500</v>
      </c>
      <c r="N78" s="20"/>
      <c r="O78" s="86"/>
      <c r="P78" s="20">
        <v>1500</v>
      </c>
    </row>
    <row r="79" spans="1:16" x14ac:dyDescent="0.3">
      <c r="A79" s="241"/>
      <c r="B79" s="254"/>
      <c r="C79" s="257"/>
      <c r="D79" s="257"/>
      <c r="E79" s="287"/>
      <c r="F79" s="16"/>
      <c r="G79" s="4"/>
      <c r="H79" s="4"/>
      <c r="I79" s="4"/>
      <c r="J79" s="4"/>
      <c r="K79" s="4"/>
      <c r="L79" s="20">
        <f t="shared" ref="L79:L82" si="66">SUM(H79:K79)</f>
        <v>0</v>
      </c>
      <c r="M79" s="241"/>
      <c r="N79" s="4"/>
      <c r="O79" s="71"/>
      <c r="P79" s="4"/>
    </row>
    <row r="80" spans="1:16" x14ac:dyDescent="0.3">
      <c r="A80" s="241"/>
      <c r="B80" s="254"/>
      <c r="C80" s="257"/>
      <c r="D80" s="257"/>
      <c r="E80" s="287"/>
      <c r="F80" s="4"/>
      <c r="G80" s="4"/>
      <c r="H80" s="4"/>
      <c r="I80" s="4"/>
      <c r="J80" s="4"/>
      <c r="K80" s="4"/>
      <c r="L80" s="20">
        <f t="shared" si="66"/>
        <v>0</v>
      </c>
      <c r="M80" s="241"/>
      <c r="N80" s="4"/>
      <c r="O80" s="78"/>
      <c r="P80" s="4"/>
    </row>
    <row r="81" spans="1:16" x14ac:dyDescent="0.3">
      <c r="A81" s="241"/>
      <c r="B81" s="254"/>
      <c r="C81" s="257"/>
      <c r="D81" s="257"/>
      <c r="E81" s="287"/>
      <c r="F81" s="4"/>
      <c r="G81" s="4"/>
      <c r="H81" s="4"/>
      <c r="I81" s="4"/>
      <c r="J81" s="4"/>
      <c r="K81" s="4"/>
      <c r="L81" s="20">
        <f t="shared" si="66"/>
        <v>0</v>
      </c>
      <c r="M81" s="241"/>
      <c r="N81" s="4"/>
      <c r="O81" s="71"/>
      <c r="P81" s="4"/>
    </row>
    <row r="82" spans="1:16" ht="15" thickBot="1" x14ac:dyDescent="0.35">
      <c r="A82" s="241"/>
      <c r="B82" s="254"/>
      <c r="C82" s="257"/>
      <c r="D82" s="257"/>
      <c r="E82" s="287"/>
      <c r="F82" s="6"/>
      <c r="G82" s="6"/>
      <c r="H82" s="6"/>
      <c r="I82" s="6"/>
      <c r="J82" s="6"/>
      <c r="K82" s="6"/>
      <c r="L82" s="20">
        <f t="shared" si="66"/>
        <v>0</v>
      </c>
      <c r="M82" s="242"/>
      <c r="N82" s="6"/>
      <c r="O82" s="87"/>
      <c r="P82" s="6"/>
    </row>
    <row r="83" spans="1:16" ht="15.6" thickTop="1" thickBot="1" x14ac:dyDescent="0.35">
      <c r="A83" s="242"/>
      <c r="B83" s="255"/>
      <c r="C83" s="258"/>
      <c r="D83" s="258"/>
      <c r="E83" s="288"/>
      <c r="F83" s="243"/>
      <c r="G83" s="244"/>
      <c r="H83" s="8">
        <f t="shared" ref="H83" si="67">SUM(H78:H82)</f>
        <v>500</v>
      </c>
      <c r="I83" s="8">
        <f t="shared" ref="I83" si="68">SUM(I78:I82)</f>
        <v>3000</v>
      </c>
      <c r="J83" s="8">
        <f t="shared" ref="J83" si="69">SUM(J78:J82)</f>
        <v>3000</v>
      </c>
      <c r="K83" s="8">
        <f t="shared" ref="K83" si="70">SUM(K78:K82)</f>
        <v>0</v>
      </c>
      <c r="L83" s="8">
        <f>SUM(L78:L82)</f>
        <v>6500</v>
      </c>
      <c r="M83" s="8"/>
      <c r="N83" s="8">
        <f>M78-L83</f>
        <v>8000</v>
      </c>
      <c r="O83" s="100"/>
      <c r="P83" s="8">
        <f>SUM(P78:P82)</f>
        <v>1500</v>
      </c>
    </row>
    <row r="84" spans="1:16" ht="15" thickTop="1" x14ac:dyDescent="0.3">
      <c r="A84" s="260">
        <f t="shared" ref="A84" si="71">A78+1</f>
        <v>14</v>
      </c>
      <c r="B84" s="261" t="s">
        <v>349</v>
      </c>
      <c r="C84" s="264" t="s">
        <v>350</v>
      </c>
      <c r="D84" s="267" t="s">
        <v>351</v>
      </c>
      <c r="E84" s="296" t="s">
        <v>352</v>
      </c>
      <c r="F84" s="39">
        <v>6768</v>
      </c>
      <c r="G84" s="47" t="s">
        <v>353</v>
      </c>
      <c r="H84" s="34">
        <v>500</v>
      </c>
      <c r="I84" s="34">
        <v>6500</v>
      </c>
      <c r="J84" s="34">
        <v>3000</v>
      </c>
      <c r="K84" s="34"/>
      <c r="L84" s="34">
        <f>SUM(H84:K84)</f>
        <v>10000</v>
      </c>
      <c r="M84" s="249">
        <v>14500</v>
      </c>
      <c r="N84" s="34"/>
      <c r="O84" s="94" t="s">
        <v>295</v>
      </c>
      <c r="P84" s="34"/>
    </row>
    <row r="85" spans="1:16" x14ac:dyDescent="0.3">
      <c r="A85" s="249"/>
      <c r="B85" s="262"/>
      <c r="C85" s="265"/>
      <c r="D85" s="267"/>
      <c r="E85" s="265"/>
      <c r="F85" s="31">
        <v>6779</v>
      </c>
      <c r="G85" s="36" t="s">
        <v>354</v>
      </c>
      <c r="H85" s="36"/>
      <c r="I85" s="36">
        <v>4500</v>
      </c>
      <c r="J85" s="36"/>
      <c r="K85" s="36"/>
      <c r="L85" s="34">
        <f t="shared" ref="L85:L88" si="72">SUM(H85:K85)</f>
        <v>4500</v>
      </c>
      <c r="M85" s="249"/>
      <c r="N85" s="36"/>
      <c r="O85" s="73"/>
      <c r="P85" s="36"/>
    </row>
    <row r="86" spans="1:16" x14ac:dyDescent="0.3">
      <c r="A86" s="249"/>
      <c r="B86" s="262"/>
      <c r="C86" s="265"/>
      <c r="D86" s="267"/>
      <c r="E86" s="265"/>
      <c r="F86" s="36"/>
      <c r="G86" s="36"/>
      <c r="H86" s="36"/>
      <c r="I86" s="36"/>
      <c r="J86" s="36"/>
      <c r="K86" s="36"/>
      <c r="L86" s="34">
        <f t="shared" si="72"/>
        <v>0</v>
      </c>
      <c r="M86" s="249"/>
      <c r="N86" s="36"/>
      <c r="O86" s="81"/>
      <c r="P86" s="36"/>
    </row>
    <row r="87" spans="1:16" x14ac:dyDescent="0.3">
      <c r="A87" s="249"/>
      <c r="B87" s="262"/>
      <c r="C87" s="265"/>
      <c r="D87" s="267"/>
      <c r="E87" s="265"/>
      <c r="F87" s="36"/>
      <c r="G87" s="36"/>
      <c r="H87" s="36"/>
      <c r="I87" s="36"/>
      <c r="J87" s="36"/>
      <c r="K87" s="36"/>
      <c r="L87" s="34">
        <f t="shared" si="72"/>
        <v>0</v>
      </c>
      <c r="M87" s="249"/>
      <c r="N87" s="36"/>
      <c r="O87" s="73"/>
      <c r="P87" s="36"/>
    </row>
    <row r="88" spans="1:16" ht="15" thickBot="1" x14ac:dyDescent="0.35">
      <c r="A88" s="249"/>
      <c r="B88" s="262"/>
      <c r="C88" s="265"/>
      <c r="D88" s="267"/>
      <c r="E88" s="265"/>
      <c r="F88" s="41"/>
      <c r="G88" s="41"/>
      <c r="H88" s="41"/>
      <c r="I88" s="41"/>
      <c r="J88" s="41"/>
      <c r="K88" s="41"/>
      <c r="L88" s="34">
        <f t="shared" si="72"/>
        <v>0</v>
      </c>
      <c r="M88" s="250"/>
      <c r="N88" s="41"/>
      <c r="O88" s="93"/>
      <c r="P88" s="41"/>
    </row>
    <row r="89" spans="1:16" ht="15.6" thickTop="1" thickBot="1" x14ac:dyDescent="0.35">
      <c r="A89" s="250"/>
      <c r="B89" s="263"/>
      <c r="C89" s="266"/>
      <c r="D89" s="268"/>
      <c r="E89" s="266"/>
      <c r="F89" s="251"/>
      <c r="G89" s="252"/>
      <c r="H89" s="14">
        <f t="shared" ref="H89" si="73">SUM(H84:H88)</f>
        <v>500</v>
      </c>
      <c r="I89" s="14">
        <f t="shared" ref="I89" si="74">SUM(I84:I88)</f>
        <v>11000</v>
      </c>
      <c r="J89" s="14">
        <f t="shared" ref="J89" si="75">SUM(J84:J88)</f>
        <v>3000</v>
      </c>
      <c r="K89" s="14">
        <f t="shared" ref="K89" si="76">SUM(K84:K88)</f>
        <v>0</v>
      </c>
      <c r="L89" s="14">
        <f>SUM(L84:L88)</f>
        <v>14500</v>
      </c>
      <c r="M89" s="14"/>
      <c r="N89" s="14">
        <f>M84-L89</f>
        <v>0</v>
      </c>
      <c r="O89" s="111"/>
      <c r="P89" s="14">
        <f>SUM(P84:P88)</f>
        <v>0</v>
      </c>
    </row>
    <row r="90" spans="1:16" ht="15" thickTop="1" x14ac:dyDescent="0.3">
      <c r="A90" s="312">
        <f t="shared" ref="A90" si="77">A84+1</f>
        <v>15</v>
      </c>
      <c r="B90" s="279" t="s">
        <v>355</v>
      </c>
      <c r="C90" s="264" t="s">
        <v>147</v>
      </c>
      <c r="D90" s="264" t="s">
        <v>356</v>
      </c>
      <c r="E90" s="296" t="s">
        <v>357</v>
      </c>
      <c r="F90" s="33">
        <v>6769</v>
      </c>
      <c r="G90" s="49" t="s">
        <v>75</v>
      </c>
      <c r="H90" s="34">
        <v>500</v>
      </c>
      <c r="I90" s="34">
        <v>5000</v>
      </c>
      <c r="J90" s="34">
        <v>3000</v>
      </c>
      <c r="K90" s="34"/>
      <c r="L90" s="34">
        <f>SUM(H90:K90)</f>
        <v>8500</v>
      </c>
      <c r="M90" s="249">
        <v>14500</v>
      </c>
      <c r="N90" s="34"/>
      <c r="O90" s="94" t="s">
        <v>240</v>
      </c>
      <c r="P90" s="34">
        <v>1500</v>
      </c>
    </row>
    <row r="91" spans="1:16" x14ac:dyDescent="0.3">
      <c r="A91" s="313"/>
      <c r="B91" s="277"/>
      <c r="C91" s="265"/>
      <c r="D91" s="265"/>
      <c r="E91" s="265"/>
      <c r="F91" s="31">
        <v>6927</v>
      </c>
      <c r="G91" s="31" t="s">
        <v>563</v>
      </c>
      <c r="H91" s="36"/>
      <c r="I91" s="36">
        <v>6000</v>
      </c>
      <c r="J91" s="36"/>
      <c r="K91" s="36"/>
      <c r="L91" s="34">
        <f t="shared" ref="L91:L94" si="78">SUM(H91:K91)</f>
        <v>6000</v>
      </c>
      <c r="M91" s="249"/>
      <c r="N91" s="36"/>
      <c r="O91" s="73"/>
      <c r="P91" s="36"/>
    </row>
    <row r="92" spans="1:16" x14ac:dyDescent="0.3">
      <c r="A92" s="313"/>
      <c r="B92" s="277"/>
      <c r="C92" s="265"/>
      <c r="D92" s="265"/>
      <c r="E92" s="265"/>
      <c r="F92" s="31"/>
      <c r="G92" s="31"/>
      <c r="H92" s="36"/>
      <c r="I92" s="36"/>
      <c r="J92" s="36"/>
      <c r="K92" s="36"/>
      <c r="L92" s="34">
        <f t="shared" si="78"/>
        <v>0</v>
      </c>
      <c r="M92" s="249"/>
      <c r="N92" s="36"/>
      <c r="O92" s="81"/>
      <c r="P92" s="36"/>
    </row>
    <row r="93" spans="1:16" x14ac:dyDescent="0.3">
      <c r="A93" s="313"/>
      <c r="B93" s="277"/>
      <c r="C93" s="265"/>
      <c r="D93" s="265"/>
      <c r="E93" s="265"/>
      <c r="F93" s="31"/>
      <c r="G93" s="31"/>
      <c r="H93" s="36"/>
      <c r="I93" s="36"/>
      <c r="J93" s="36"/>
      <c r="K93" s="36"/>
      <c r="L93" s="34">
        <f t="shared" si="78"/>
        <v>0</v>
      </c>
      <c r="M93" s="249"/>
      <c r="N93" s="36"/>
      <c r="O93" s="73"/>
      <c r="P93" s="36"/>
    </row>
    <row r="94" spans="1:16" ht="15" thickBot="1" x14ac:dyDescent="0.35">
      <c r="A94" s="313"/>
      <c r="B94" s="277"/>
      <c r="C94" s="265"/>
      <c r="D94" s="265"/>
      <c r="E94" s="265"/>
      <c r="F94" s="38"/>
      <c r="G94" s="38"/>
      <c r="H94" s="41"/>
      <c r="I94" s="41"/>
      <c r="J94" s="41"/>
      <c r="K94" s="41"/>
      <c r="L94" s="34">
        <f t="shared" si="78"/>
        <v>0</v>
      </c>
      <c r="M94" s="250"/>
      <c r="N94" s="41"/>
      <c r="O94" s="93"/>
      <c r="P94" s="41"/>
    </row>
    <row r="95" spans="1:16" ht="15.6" thickTop="1" thickBot="1" x14ac:dyDescent="0.35">
      <c r="A95" s="314"/>
      <c r="B95" s="278"/>
      <c r="C95" s="266"/>
      <c r="D95" s="266"/>
      <c r="E95" s="266"/>
      <c r="F95" s="315"/>
      <c r="G95" s="316"/>
      <c r="H95" s="14">
        <f t="shared" ref="H95" si="79">SUM(H90:H94)</f>
        <v>500</v>
      </c>
      <c r="I95" s="14">
        <f t="shared" ref="I95" si="80">SUM(I90:I94)</f>
        <v>11000</v>
      </c>
      <c r="J95" s="14">
        <f t="shared" ref="J95" si="81">SUM(J90:J94)</f>
        <v>3000</v>
      </c>
      <c r="K95" s="14">
        <f t="shared" ref="K95" si="82">SUM(K90:K94)</f>
        <v>0</v>
      </c>
      <c r="L95" s="14">
        <f>SUM(L90:L94)</f>
        <v>14500</v>
      </c>
      <c r="M95" s="14"/>
      <c r="N95" s="14">
        <f>M90-L95</f>
        <v>0</v>
      </c>
      <c r="O95" s="111"/>
      <c r="P95" s="14">
        <f>SUM(P90:P94)</f>
        <v>1500</v>
      </c>
    </row>
    <row r="96" spans="1:16" ht="15" thickTop="1" x14ac:dyDescent="0.3">
      <c r="A96" s="248">
        <f t="shared" ref="A96" si="83">A90+1</f>
        <v>16</v>
      </c>
      <c r="B96" s="283" t="s">
        <v>358</v>
      </c>
      <c r="C96" s="286" t="s">
        <v>181</v>
      </c>
      <c r="D96" s="256" t="s">
        <v>359</v>
      </c>
      <c r="E96" s="292" t="s">
        <v>360</v>
      </c>
      <c r="F96" s="3">
        <v>6770</v>
      </c>
      <c r="G96" s="29" t="s">
        <v>340</v>
      </c>
      <c r="H96" s="20">
        <v>500</v>
      </c>
      <c r="I96" s="20">
        <v>6500</v>
      </c>
      <c r="J96" s="20">
        <v>3000</v>
      </c>
      <c r="K96" s="20"/>
      <c r="L96" s="20">
        <f>SUM(H96:K96)</f>
        <v>10000</v>
      </c>
      <c r="M96" s="241">
        <v>14500</v>
      </c>
      <c r="N96" s="20"/>
      <c r="O96" s="86" t="s">
        <v>295</v>
      </c>
      <c r="P96" s="20"/>
    </row>
    <row r="97" spans="1:16" x14ac:dyDescent="0.3">
      <c r="A97" s="241"/>
      <c r="B97" s="284"/>
      <c r="C97" s="287"/>
      <c r="D97" s="257"/>
      <c r="E97" s="287"/>
      <c r="F97" s="16"/>
      <c r="G97" s="4"/>
      <c r="H97" s="4"/>
      <c r="I97" s="4"/>
      <c r="J97" s="4"/>
      <c r="K97" s="4"/>
      <c r="L97" s="20">
        <f t="shared" ref="L97:L100" si="84">SUM(H97:K97)</f>
        <v>0</v>
      </c>
      <c r="M97" s="241"/>
      <c r="N97" s="4"/>
      <c r="O97" s="71" t="s">
        <v>240</v>
      </c>
      <c r="P97" s="4"/>
    </row>
    <row r="98" spans="1:16" x14ac:dyDescent="0.3">
      <c r="A98" s="241"/>
      <c r="B98" s="284"/>
      <c r="C98" s="287"/>
      <c r="D98" s="257"/>
      <c r="E98" s="287"/>
      <c r="F98" s="4"/>
      <c r="G98" s="4"/>
      <c r="H98" s="4"/>
      <c r="I98" s="4"/>
      <c r="J98" s="4"/>
      <c r="K98" s="4"/>
      <c r="L98" s="20">
        <f t="shared" si="84"/>
        <v>0</v>
      </c>
      <c r="M98" s="241"/>
      <c r="N98" s="4"/>
      <c r="O98" s="78"/>
      <c r="P98" s="4"/>
    </row>
    <row r="99" spans="1:16" x14ac:dyDescent="0.3">
      <c r="A99" s="241"/>
      <c r="B99" s="284"/>
      <c r="C99" s="287"/>
      <c r="D99" s="257"/>
      <c r="E99" s="287"/>
      <c r="F99" s="4"/>
      <c r="G99" s="4"/>
      <c r="H99" s="4"/>
      <c r="I99" s="4"/>
      <c r="J99" s="4"/>
      <c r="K99" s="4"/>
      <c r="L99" s="20">
        <f t="shared" si="84"/>
        <v>0</v>
      </c>
      <c r="M99" s="241"/>
      <c r="N99" s="4"/>
      <c r="O99" s="71"/>
      <c r="P99" s="4"/>
    </row>
    <row r="100" spans="1:16" ht="15" thickBot="1" x14ac:dyDescent="0.35">
      <c r="A100" s="241"/>
      <c r="B100" s="284"/>
      <c r="C100" s="287"/>
      <c r="D100" s="257"/>
      <c r="E100" s="287"/>
      <c r="F100" s="6"/>
      <c r="G100" s="6"/>
      <c r="H100" s="6"/>
      <c r="I100" s="6"/>
      <c r="J100" s="6"/>
      <c r="K100" s="6"/>
      <c r="L100" s="20">
        <f t="shared" si="84"/>
        <v>0</v>
      </c>
      <c r="M100" s="242"/>
      <c r="N100" s="6"/>
      <c r="O100" s="87"/>
      <c r="P100" s="6"/>
    </row>
    <row r="101" spans="1:16" ht="15.6" thickTop="1" thickBot="1" x14ac:dyDescent="0.35">
      <c r="A101" s="242"/>
      <c r="B101" s="285"/>
      <c r="C101" s="288"/>
      <c r="D101" s="258"/>
      <c r="E101" s="288"/>
      <c r="F101" s="243"/>
      <c r="G101" s="244"/>
      <c r="H101" s="8">
        <f t="shared" ref="H101" si="85">SUM(H96:H100)</f>
        <v>500</v>
      </c>
      <c r="I101" s="8">
        <f t="shared" ref="I101" si="86">SUM(I96:I100)</f>
        <v>6500</v>
      </c>
      <c r="J101" s="8">
        <f t="shared" ref="J101" si="87">SUM(J96:J100)</f>
        <v>3000</v>
      </c>
      <c r="K101" s="8">
        <f t="shared" ref="K101" si="88">SUM(K96:K100)</f>
        <v>0</v>
      </c>
      <c r="L101" s="8">
        <f>SUM(L96:L100)</f>
        <v>10000</v>
      </c>
      <c r="M101" s="8"/>
      <c r="N101" s="8">
        <f>M96-L101</f>
        <v>4500</v>
      </c>
      <c r="O101" s="100"/>
      <c r="P101" s="8">
        <f>SUM(P96:P100)</f>
        <v>0</v>
      </c>
    </row>
    <row r="102" spans="1:16" ht="15" thickTop="1" x14ac:dyDescent="0.3">
      <c r="A102" s="248">
        <f t="shared" ref="A102" si="89">A96+1</f>
        <v>17</v>
      </c>
      <c r="B102" s="253" t="s">
        <v>366</v>
      </c>
      <c r="C102" s="256" t="s">
        <v>367</v>
      </c>
      <c r="D102" s="286" t="s">
        <v>368</v>
      </c>
      <c r="E102" s="292" t="s">
        <v>364</v>
      </c>
      <c r="F102" s="3">
        <v>6774</v>
      </c>
      <c r="G102" s="29" t="s">
        <v>365</v>
      </c>
      <c r="H102" s="20">
        <v>500</v>
      </c>
      <c r="I102" s="20">
        <v>3000</v>
      </c>
      <c r="J102" s="20">
        <v>3000</v>
      </c>
      <c r="K102" s="20"/>
      <c r="L102" s="20">
        <f>SUM(H102:K102)</f>
        <v>6500</v>
      </c>
      <c r="M102" s="241">
        <v>14500</v>
      </c>
      <c r="N102" s="20"/>
      <c r="O102" s="86" t="s">
        <v>240</v>
      </c>
      <c r="P102" s="20">
        <v>1500</v>
      </c>
    </row>
    <row r="103" spans="1:16" x14ac:dyDescent="0.3">
      <c r="A103" s="241"/>
      <c r="B103" s="254"/>
      <c r="C103" s="257"/>
      <c r="D103" s="287"/>
      <c r="E103" s="287"/>
      <c r="F103" s="16">
        <v>7077</v>
      </c>
      <c r="G103" s="4" t="s">
        <v>913</v>
      </c>
      <c r="H103" s="4"/>
      <c r="I103" s="4">
        <v>4000</v>
      </c>
      <c r="J103" s="4"/>
      <c r="K103" s="4"/>
      <c r="L103" s="20">
        <f t="shared" ref="L103:L106" si="90">SUM(H103:K103)</f>
        <v>4000</v>
      </c>
      <c r="M103" s="241"/>
      <c r="N103" s="4"/>
      <c r="O103" s="71"/>
      <c r="P103" s="4"/>
    </row>
    <row r="104" spans="1:16" x14ac:dyDescent="0.3">
      <c r="A104" s="241"/>
      <c r="B104" s="254"/>
      <c r="C104" s="257"/>
      <c r="D104" s="287"/>
      <c r="E104" s="287"/>
      <c r="F104" s="4"/>
      <c r="G104" s="4"/>
      <c r="H104" s="4"/>
      <c r="I104" s="4"/>
      <c r="J104" s="4"/>
      <c r="K104" s="4"/>
      <c r="L104" s="20">
        <f t="shared" si="90"/>
        <v>0</v>
      </c>
      <c r="M104" s="241"/>
      <c r="N104" s="4"/>
      <c r="O104" s="78"/>
      <c r="P104" s="4"/>
    </row>
    <row r="105" spans="1:16" x14ac:dyDescent="0.3">
      <c r="A105" s="241"/>
      <c r="B105" s="254"/>
      <c r="C105" s="257"/>
      <c r="D105" s="287"/>
      <c r="E105" s="287"/>
      <c r="F105" s="4"/>
      <c r="G105" s="4"/>
      <c r="H105" s="4"/>
      <c r="I105" s="4"/>
      <c r="J105" s="4"/>
      <c r="K105" s="4"/>
      <c r="L105" s="20">
        <f t="shared" si="90"/>
        <v>0</v>
      </c>
      <c r="M105" s="241"/>
      <c r="N105" s="4"/>
      <c r="O105" s="71"/>
      <c r="P105" s="4"/>
    </row>
    <row r="106" spans="1:16" ht="15" thickBot="1" x14ac:dyDescent="0.35">
      <c r="A106" s="241"/>
      <c r="B106" s="254"/>
      <c r="C106" s="257"/>
      <c r="D106" s="287"/>
      <c r="E106" s="287"/>
      <c r="F106" s="6"/>
      <c r="G106" s="6"/>
      <c r="H106" s="6"/>
      <c r="I106" s="6"/>
      <c r="J106" s="6"/>
      <c r="K106" s="6"/>
      <c r="L106" s="20">
        <f t="shared" si="90"/>
        <v>0</v>
      </c>
      <c r="M106" s="242"/>
      <c r="N106" s="6"/>
      <c r="O106" s="87"/>
      <c r="P106" s="6"/>
    </row>
    <row r="107" spans="1:16" ht="15.6" thickTop="1" thickBot="1" x14ac:dyDescent="0.35">
      <c r="A107" s="242"/>
      <c r="B107" s="255"/>
      <c r="C107" s="258"/>
      <c r="D107" s="288"/>
      <c r="E107" s="288"/>
      <c r="F107" s="243"/>
      <c r="G107" s="244"/>
      <c r="H107" s="8">
        <f t="shared" ref="H107:K107" si="91">SUM(H102:H106)</f>
        <v>500</v>
      </c>
      <c r="I107" s="8">
        <f t="shared" si="91"/>
        <v>7000</v>
      </c>
      <c r="J107" s="8">
        <f t="shared" si="91"/>
        <v>3000</v>
      </c>
      <c r="K107" s="8">
        <f t="shared" si="91"/>
        <v>0</v>
      </c>
      <c r="L107" s="8">
        <f>SUM(L102:L106)</f>
        <v>10500</v>
      </c>
      <c r="M107" s="8"/>
      <c r="N107" s="8">
        <f>M102-L107</f>
        <v>4000</v>
      </c>
      <c r="O107" s="100"/>
      <c r="P107" s="8">
        <f>SUM(P102:P106)</f>
        <v>1500</v>
      </c>
    </row>
    <row r="108" spans="1:16" ht="15" thickTop="1" x14ac:dyDescent="0.3">
      <c r="A108" s="248">
        <f t="shared" ref="A108" si="92">A102+1</f>
        <v>18</v>
      </c>
      <c r="B108" s="253" t="s">
        <v>369</v>
      </c>
      <c r="C108" s="256" t="s">
        <v>367</v>
      </c>
      <c r="D108" s="286" t="s">
        <v>368</v>
      </c>
      <c r="E108" s="292" t="s">
        <v>370</v>
      </c>
      <c r="F108" s="3">
        <v>6775</v>
      </c>
      <c r="G108" s="29" t="s">
        <v>371</v>
      </c>
      <c r="H108" s="20">
        <v>500</v>
      </c>
      <c r="I108" s="20">
        <v>3000</v>
      </c>
      <c r="J108" s="20">
        <v>3000</v>
      </c>
      <c r="K108" s="20"/>
      <c r="L108" s="20">
        <f>SUM(H108:K108)</f>
        <v>6500</v>
      </c>
      <c r="M108" s="241">
        <v>14500</v>
      </c>
      <c r="N108" s="20"/>
      <c r="O108" s="86"/>
      <c r="P108" s="20">
        <v>1500</v>
      </c>
    </row>
    <row r="109" spans="1:16" x14ac:dyDescent="0.3">
      <c r="A109" s="241"/>
      <c r="B109" s="254"/>
      <c r="C109" s="257"/>
      <c r="D109" s="287"/>
      <c r="E109" s="287"/>
      <c r="F109" s="16">
        <v>7079</v>
      </c>
      <c r="G109" s="4" t="s">
        <v>913</v>
      </c>
      <c r="H109" s="4"/>
      <c r="I109" s="4">
        <v>4000</v>
      </c>
      <c r="J109" s="4"/>
      <c r="K109" s="4"/>
      <c r="L109" s="20">
        <f t="shared" ref="L109:L112" si="93">SUM(H109:K109)</f>
        <v>4000</v>
      </c>
      <c r="M109" s="241"/>
      <c r="N109" s="4"/>
      <c r="O109" s="71"/>
      <c r="P109" s="4"/>
    </row>
    <row r="110" spans="1:16" x14ac:dyDescent="0.3">
      <c r="A110" s="241"/>
      <c r="B110" s="254"/>
      <c r="C110" s="257"/>
      <c r="D110" s="287"/>
      <c r="E110" s="287"/>
      <c r="F110" s="4"/>
      <c r="G110" s="4"/>
      <c r="H110" s="4"/>
      <c r="I110" s="4"/>
      <c r="J110" s="4"/>
      <c r="K110" s="4"/>
      <c r="L110" s="20">
        <f t="shared" si="93"/>
        <v>0</v>
      </c>
      <c r="M110" s="241"/>
      <c r="N110" s="4"/>
      <c r="O110" s="78"/>
      <c r="P110" s="4"/>
    </row>
    <row r="111" spans="1:16" x14ac:dyDescent="0.3">
      <c r="A111" s="241"/>
      <c r="B111" s="254"/>
      <c r="C111" s="257"/>
      <c r="D111" s="287"/>
      <c r="E111" s="287"/>
      <c r="F111" s="4"/>
      <c r="G111" s="4"/>
      <c r="H111" s="4"/>
      <c r="I111" s="4"/>
      <c r="J111" s="4"/>
      <c r="K111" s="4"/>
      <c r="L111" s="20">
        <f t="shared" si="93"/>
        <v>0</v>
      </c>
      <c r="M111" s="241"/>
      <c r="N111" s="4"/>
      <c r="O111" s="71"/>
      <c r="P111" s="4"/>
    </row>
    <row r="112" spans="1:16" ht="15" thickBot="1" x14ac:dyDescent="0.35">
      <c r="A112" s="241"/>
      <c r="B112" s="254"/>
      <c r="C112" s="257"/>
      <c r="D112" s="287"/>
      <c r="E112" s="287"/>
      <c r="F112" s="6"/>
      <c r="G112" s="6"/>
      <c r="H112" s="6"/>
      <c r="I112" s="6"/>
      <c r="J112" s="6"/>
      <c r="K112" s="6"/>
      <c r="L112" s="20">
        <f t="shared" si="93"/>
        <v>0</v>
      </c>
      <c r="M112" s="242"/>
      <c r="N112" s="6"/>
      <c r="O112" s="87"/>
      <c r="P112" s="6"/>
    </row>
    <row r="113" spans="1:16" ht="15.6" thickTop="1" thickBot="1" x14ac:dyDescent="0.35">
      <c r="A113" s="242"/>
      <c r="B113" s="255"/>
      <c r="C113" s="258"/>
      <c r="D113" s="288"/>
      <c r="E113" s="288"/>
      <c r="F113" s="243"/>
      <c r="G113" s="244"/>
      <c r="H113" s="8">
        <f t="shared" ref="H113:K113" si="94">SUM(H108:H112)</f>
        <v>500</v>
      </c>
      <c r="I113" s="8">
        <f t="shared" si="94"/>
        <v>7000</v>
      </c>
      <c r="J113" s="8">
        <f t="shared" si="94"/>
        <v>3000</v>
      </c>
      <c r="K113" s="8">
        <f t="shared" si="94"/>
        <v>0</v>
      </c>
      <c r="L113" s="8">
        <f>SUM(L108:L112)</f>
        <v>10500</v>
      </c>
      <c r="M113" s="8"/>
      <c r="N113" s="8">
        <f>M108-L113</f>
        <v>4000</v>
      </c>
      <c r="O113" s="100"/>
      <c r="P113" s="8">
        <f>SUM(P108:P112)</f>
        <v>1500</v>
      </c>
    </row>
    <row r="114" spans="1:16" ht="15" thickTop="1" x14ac:dyDescent="0.3">
      <c r="A114" s="248">
        <f t="shared" ref="A114" si="95">A108+1</f>
        <v>19</v>
      </c>
      <c r="B114" s="253" t="s">
        <v>372</v>
      </c>
      <c r="C114" s="256" t="s">
        <v>147</v>
      </c>
      <c r="D114" s="286" t="s">
        <v>363</v>
      </c>
      <c r="E114" s="292" t="s">
        <v>370</v>
      </c>
      <c r="F114" s="3">
        <v>6777</v>
      </c>
      <c r="G114" s="29" t="s">
        <v>371</v>
      </c>
      <c r="H114" s="20">
        <v>500</v>
      </c>
      <c r="I114" s="20">
        <v>3000</v>
      </c>
      <c r="J114" s="20">
        <v>3000</v>
      </c>
      <c r="K114" s="20"/>
      <c r="L114" s="20">
        <f>SUM(H114:K114)</f>
        <v>6500</v>
      </c>
      <c r="M114" s="241">
        <v>14500</v>
      </c>
      <c r="N114" s="20"/>
      <c r="O114" s="86"/>
      <c r="P114" s="20">
        <v>1500</v>
      </c>
    </row>
    <row r="115" spans="1:16" x14ac:dyDescent="0.3">
      <c r="A115" s="241"/>
      <c r="B115" s="254"/>
      <c r="C115" s="257"/>
      <c r="D115" s="287"/>
      <c r="E115" s="287"/>
      <c r="F115" s="16"/>
      <c r="G115" s="4"/>
      <c r="H115" s="4"/>
      <c r="I115" s="4"/>
      <c r="J115" s="4"/>
      <c r="K115" s="4"/>
      <c r="L115" s="20">
        <f t="shared" ref="L115:L118" si="96">SUM(H115:K115)</f>
        <v>0</v>
      </c>
      <c r="M115" s="241"/>
      <c r="N115" s="4"/>
      <c r="O115" s="71"/>
      <c r="P115" s="4"/>
    </row>
    <row r="116" spans="1:16" x14ac:dyDescent="0.3">
      <c r="A116" s="241"/>
      <c r="B116" s="254"/>
      <c r="C116" s="257"/>
      <c r="D116" s="287"/>
      <c r="E116" s="287"/>
      <c r="F116" s="4"/>
      <c r="G116" s="4"/>
      <c r="H116" s="4"/>
      <c r="I116" s="4"/>
      <c r="J116" s="4"/>
      <c r="K116" s="4"/>
      <c r="L116" s="20">
        <f t="shared" si="96"/>
        <v>0</v>
      </c>
      <c r="M116" s="241"/>
      <c r="N116" s="4"/>
      <c r="O116" s="78"/>
      <c r="P116" s="4"/>
    </row>
    <row r="117" spans="1:16" x14ac:dyDescent="0.3">
      <c r="A117" s="241"/>
      <c r="B117" s="254"/>
      <c r="C117" s="257"/>
      <c r="D117" s="287"/>
      <c r="E117" s="287"/>
      <c r="F117" s="4"/>
      <c r="G117" s="4"/>
      <c r="H117" s="4"/>
      <c r="I117" s="4"/>
      <c r="J117" s="4"/>
      <c r="K117" s="4"/>
      <c r="L117" s="20">
        <f t="shared" si="96"/>
        <v>0</v>
      </c>
      <c r="M117" s="241"/>
      <c r="N117" s="4"/>
      <c r="O117" s="71"/>
      <c r="P117" s="4"/>
    </row>
    <row r="118" spans="1:16" ht="15" thickBot="1" x14ac:dyDescent="0.35">
      <c r="A118" s="241"/>
      <c r="B118" s="254"/>
      <c r="C118" s="257"/>
      <c r="D118" s="287"/>
      <c r="E118" s="287"/>
      <c r="F118" s="6"/>
      <c r="G118" s="6"/>
      <c r="H118" s="6"/>
      <c r="I118" s="6"/>
      <c r="J118" s="6"/>
      <c r="K118" s="6"/>
      <c r="L118" s="20">
        <f t="shared" si="96"/>
        <v>0</v>
      </c>
      <c r="M118" s="242"/>
      <c r="N118" s="6"/>
      <c r="O118" s="87"/>
      <c r="P118" s="6"/>
    </row>
    <row r="119" spans="1:16" ht="15.6" thickTop="1" thickBot="1" x14ac:dyDescent="0.35">
      <c r="A119" s="242"/>
      <c r="B119" s="255"/>
      <c r="C119" s="258"/>
      <c r="D119" s="288"/>
      <c r="E119" s="288"/>
      <c r="F119" s="243"/>
      <c r="G119" s="244"/>
      <c r="H119" s="8">
        <f t="shared" ref="H119:K119" si="97">SUM(H114:H118)</f>
        <v>500</v>
      </c>
      <c r="I119" s="8">
        <f t="shared" si="97"/>
        <v>3000</v>
      </c>
      <c r="J119" s="8">
        <f t="shared" si="97"/>
        <v>3000</v>
      </c>
      <c r="K119" s="8">
        <f t="shared" si="97"/>
        <v>0</v>
      </c>
      <c r="L119" s="8">
        <f>SUM(L114:L118)</f>
        <v>6500</v>
      </c>
      <c r="M119" s="8"/>
      <c r="N119" s="8">
        <f>M114-L119</f>
        <v>8000</v>
      </c>
      <c r="O119" s="100"/>
      <c r="P119" s="8">
        <f>SUM(P114:P118)</f>
        <v>1500</v>
      </c>
    </row>
    <row r="120" spans="1:16" ht="18.600000000000001" thickTop="1" x14ac:dyDescent="0.35">
      <c r="A120" s="248">
        <f t="shared" ref="A120" si="98">A114+1</f>
        <v>20</v>
      </c>
      <c r="B120" s="253" t="s">
        <v>373</v>
      </c>
      <c r="C120" s="256" t="s">
        <v>101</v>
      </c>
      <c r="D120" s="286" t="s">
        <v>374</v>
      </c>
      <c r="E120" s="292" t="s">
        <v>375</v>
      </c>
      <c r="F120" s="3">
        <v>6787</v>
      </c>
      <c r="G120" s="29" t="s">
        <v>371</v>
      </c>
      <c r="H120" s="20">
        <v>500</v>
      </c>
      <c r="I120" s="20">
        <v>3000</v>
      </c>
      <c r="J120" s="20"/>
      <c r="K120" s="20"/>
      <c r="L120" s="20">
        <f>SUM(H120:K120)</f>
        <v>3500</v>
      </c>
      <c r="M120" s="241">
        <v>8700</v>
      </c>
      <c r="N120" s="20"/>
      <c r="O120" s="191" t="s">
        <v>376</v>
      </c>
      <c r="P120" s="20">
        <v>1500</v>
      </c>
    </row>
    <row r="121" spans="1:16" x14ac:dyDescent="0.3">
      <c r="A121" s="241"/>
      <c r="B121" s="254"/>
      <c r="C121" s="257"/>
      <c r="D121" s="287"/>
      <c r="E121" s="287"/>
      <c r="F121" s="16"/>
      <c r="G121" s="4"/>
      <c r="H121" s="4"/>
      <c r="I121" s="4"/>
      <c r="J121" s="4"/>
      <c r="K121" s="4"/>
      <c r="L121" s="20">
        <f t="shared" ref="L121:L124" si="99">SUM(H121:K121)</f>
        <v>0</v>
      </c>
      <c r="M121" s="241"/>
      <c r="N121" s="4"/>
      <c r="O121" s="80" t="s">
        <v>377</v>
      </c>
      <c r="P121" s="4"/>
    </row>
    <row r="122" spans="1:16" x14ac:dyDescent="0.3">
      <c r="A122" s="241"/>
      <c r="B122" s="254"/>
      <c r="C122" s="257"/>
      <c r="D122" s="287"/>
      <c r="E122" s="287"/>
      <c r="F122" s="4"/>
      <c r="G122" s="4"/>
      <c r="H122" s="4"/>
      <c r="I122" s="4"/>
      <c r="J122" s="4"/>
      <c r="K122" s="4"/>
      <c r="L122" s="20">
        <f t="shared" si="99"/>
        <v>0</v>
      </c>
      <c r="M122" s="241"/>
      <c r="N122" s="4"/>
      <c r="O122" s="78"/>
      <c r="P122" s="4"/>
    </row>
    <row r="123" spans="1:16" x14ac:dyDescent="0.3">
      <c r="A123" s="241"/>
      <c r="B123" s="254"/>
      <c r="C123" s="257"/>
      <c r="D123" s="287"/>
      <c r="E123" s="287"/>
      <c r="F123" s="4"/>
      <c r="G123" s="4"/>
      <c r="H123" s="4"/>
      <c r="I123" s="4"/>
      <c r="J123" s="4"/>
      <c r="K123" s="4"/>
      <c r="L123" s="20">
        <f t="shared" si="99"/>
        <v>0</v>
      </c>
      <c r="M123" s="241"/>
      <c r="N123" s="4"/>
      <c r="O123" s="71"/>
      <c r="P123" s="4"/>
    </row>
    <row r="124" spans="1:16" ht="15" thickBot="1" x14ac:dyDescent="0.35">
      <c r="A124" s="241"/>
      <c r="B124" s="254"/>
      <c r="C124" s="257"/>
      <c r="D124" s="287"/>
      <c r="E124" s="287"/>
      <c r="F124" s="6"/>
      <c r="G124" s="6"/>
      <c r="H124" s="6"/>
      <c r="I124" s="6"/>
      <c r="J124" s="6"/>
      <c r="K124" s="6"/>
      <c r="L124" s="20">
        <f t="shared" si="99"/>
        <v>0</v>
      </c>
      <c r="M124" s="242"/>
      <c r="N124" s="6"/>
      <c r="O124" s="87"/>
      <c r="P124" s="6"/>
    </row>
    <row r="125" spans="1:16" ht="15.6" thickTop="1" thickBot="1" x14ac:dyDescent="0.35">
      <c r="A125" s="242"/>
      <c r="B125" s="255"/>
      <c r="C125" s="258"/>
      <c r="D125" s="288"/>
      <c r="E125" s="288"/>
      <c r="F125" s="243"/>
      <c r="G125" s="244"/>
      <c r="H125" s="8">
        <f t="shared" ref="H125:K125" si="100">SUM(H120:H124)</f>
        <v>500</v>
      </c>
      <c r="I125" s="8">
        <f t="shared" si="100"/>
        <v>3000</v>
      </c>
      <c r="J125" s="8">
        <f t="shared" si="100"/>
        <v>0</v>
      </c>
      <c r="K125" s="8">
        <f t="shared" si="100"/>
        <v>0</v>
      </c>
      <c r="L125" s="8">
        <f>SUM(L120:L124)</f>
        <v>3500</v>
      </c>
      <c r="M125" s="8"/>
      <c r="N125" s="8">
        <f>M120-L125</f>
        <v>5200</v>
      </c>
      <c r="O125" s="100"/>
      <c r="P125" s="8">
        <f>SUM(P120:P124)</f>
        <v>1500</v>
      </c>
    </row>
    <row r="126" spans="1:16" ht="15" thickTop="1" x14ac:dyDescent="0.3">
      <c r="A126" s="248">
        <f t="shared" ref="A126" si="101">A120+1</f>
        <v>21</v>
      </c>
      <c r="B126" s="253" t="s">
        <v>404</v>
      </c>
      <c r="C126" s="256" t="s">
        <v>189</v>
      </c>
      <c r="D126" s="286" t="s">
        <v>301</v>
      </c>
      <c r="E126" s="292" t="s">
        <v>405</v>
      </c>
      <c r="F126" s="3">
        <v>6790</v>
      </c>
      <c r="G126" s="29" t="s">
        <v>381</v>
      </c>
      <c r="H126" s="20">
        <v>500</v>
      </c>
      <c r="I126" s="20">
        <v>4000</v>
      </c>
      <c r="J126" s="20">
        <v>3000</v>
      </c>
      <c r="K126" s="20"/>
      <c r="L126" s="20">
        <f>SUM(H126:K126)</f>
        <v>7500</v>
      </c>
      <c r="M126" s="241">
        <v>14500</v>
      </c>
      <c r="N126" s="20"/>
      <c r="O126" s="86"/>
      <c r="P126" s="20">
        <v>1500</v>
      </c>
    </row>
    <row r="127" spans="1:16" x14ac:dyDescent="0.3">
      <c r="A127" s="241"/>
      <c r="B127" s="254"/>
      <c r="C127" s="257"/>
      <c r="D127" s="287"/>
      <c r="E127" s="287"/>
      <c r="F127" s="16">
        <v>6975</v>
      </c>
      <c r="G127" s="4" t="s">
        <v>775</v>
      </c>
      <c r="H127" s="4"/>
      <c r="I127" s="4">
        <v>5000</v>
      </c>
      <c r="J127" s="4"/>
      <c r="K127" s="4"/>
      <c r="L127" s="20">
        <f t="shared" ref="L127:L130" si="102">SUM(H127:K127)</f>
        <v>5000</v>
      </c>
      <c r="M127" s="241"/>
      <c r="N127" s="4"/>
      <c r="O127" s="71"/>
      <c r="P127" s="4"/>
    </row>
    <row r="128" spans="1:16" x14ac:dyDescent="0.3">
      <c r="A128" s="241"/>
      <c r="B128" s="254"/>
      <c r="C128" s="257"/>
      <c r="D128" s="287"/>
      <c r="E128" s="287"/>
      <c r="F128" s="4"/>
      <c r="G128" s="4"/>
      <c r="H128" s="4"/>
      <c r="I128" s="4"/>
      <c r="J128" s="4"/>
      <c r="K128" s="4"/>
      <c r="L128" s="20">
        <f t="shared" si="102"/>
        <v>0</v>
      </c>
      <c r="M128" s="241"/>
      <c r="N128" s="4"/>
      <c r="O128" s="78"/>
      <c r="P128" s="4"/>
    </row>
    <row r="129" spans="1:16" x14ac:dyDescent="0.3">
      <c r="A129" s="241"/>
      <c r="B129" s="254"/>
      <c r="C129" s="257"/>
      <c r="D129" s="287"/>
      <c r="E129" s="287"/>
      <c r="F129" s="4"/>
      <c r="G129" s="4"/>
      <c r="H129" s="4"/>
      <c r="I129" s="4"/>
      <c r="J129" s="4"/>
      <c r="K129" s="4"/>
      <c r="L129" s="20">
        <f t="shared" si="102"/>
        <v>0</v>
      </c>
      <c r="M129" s="241"/>
      <c r="N129" s="4"/>
      <c r="O129" s="71"/>
      <c r="P129" s="4"/>
    </row>
    <row r="130" spans="1:16" ht="15" thickBot="1" x14ac:dyDescent="0.35">
      <c r="A130" s="241"/>
      <c r="B130" s="254"/>
      <c r="C130" s="257"/>
      <c r="D130" s="287"/>
      <c r="E130" s="287"/>
      <c r="F130" s="6"/>
      <c r="G130" s="6"/>
      <c r="H130" s="6"/>
      <c r="I130" s="6"/>
      <c r="J130" s="6"/>
      <c r="K130" s="6"/>
      <c r="L130" s="20">
        <f t="shared" si="102"/>
        <v>0</v>
      </c>
      <c r="M130" s="242"/>
      <c r="N130" s="6"/>
      <c r="O130" s="87"/>
      <c r="P130" s="6"/>
    </row>
    <row r="131" spans="1:16" ht="15.6" thickTop="1" thickBot="1" x14ac:dyDescent="0.35">
      <c r="A131" s="242"/>
      <c r="B131" s="255"/>
      <c r="C131" s="258"/>
      <c r="D131" s="288"/>
      <c r="E131" s="288"/>
      <c r="F131" s="243"/>
      <c r="G131" s="244"/>
      <c r="H131" s="8">
        <f t="shared" ref="H131:K131" si="103">SUM(H126:H130)</f>
        <v>500</v>
      </c>
      <c r="I131" s="8">
        <f t="shared" si="103"/>
        <v>9000</v>
      </c>
      <c r="J131" s="8">
        <f t="shared" si="103"/>
        <v>3000</v>
      </c>
      <c r="K131" s="8">
        <f t="shared" si="103"/>
        <v>0</v>
      </c>
      <c r="L131" s="8">
        <f>SUM(L126:L130)</f>
        <v>12500</v>
      </c>
      <c r="M131" s="8"/>
      <c r="N131" s="8">
        <f>M126-L131</f>
        <v>2000</v>
      </c>
      <c r="O131" s="100"/>
      <c r="P131" s="8">
        <f>SUM(P126:P130)</f>
        <v>1500</v>
      </c>
    </row>
    <row r="132" spans="1:16" ht="15" thickTop="1" x14ac:dyDescent="0.3">
      <c r="A132" s="260">
        <f t="shared" ref="A132" si="104">A126+1</f>
        <v>22</v>
      </c>
      <c r="B132" s="279" t="s">
        <v>407</v>
      </c>
      <c r="C132" s="280" t="s">
        <v>141</v>
      </c>
      <c r="D132" s="264" t="s">
        <v>335</v>
      </c>
      <c r="E132" s="296" t="s">
        <v>370</v>
      </c>
      <c r="F132" s="39">
        <v>6791</v>
      </c>
      <c r="G132" s="47" t="s">
        <v>406</v>
      </c>
      <c r="H132" s="34">
        <v>500</v>
      </c>
      <c r="I132" s="34">
        <v>11000</v>
      </c>
      <c r="J132" s="34">
        <v>3000</v>
      </c>
      <c r="K132" s="34"/>
      <c r="L132" s="34">
        <f>SUM(H132:K132)</f>
        <v>14500</v>
      </c>
      <c r="M132" s="249">
        <v>14500</v>
      </c>
      <c r="N132" s="34"/>
      <c r="O132" s="94" t="s">
        <v>240</v>
      </c>
      <c r="P132" s="34">
        <v>1500</v>
      </c>
    </row>
    <row r="133" spans="1:16" x14ac:dyDescent="0.3">
      <c r="A133" s="249"/>
      <c r="B133" s="277"/>
      <c r="C133" s="267"/>
      <c r="D133" s="265"/>
      <c r="E133" s="265"/>
      <c r="F133" s="31"/>
      <c r="G133" s="36"/>
      <c r="H133" s="36"/>
      <c r="I133" s="36"/>
      <c r="J133" s="36"/>
      <c r="K133" s="36"/>
      <c r="L133" s="34">
        <f t="shared" ref="L133:L136" si="105">SUM(H133:K133)</f>
        <v>0</v>
      </c>
      <c r="M133" s="249"/>
      <c r="N133" s="36"/>
      <c r="O133" s="73"/>
      <c r="P133" s="36"/>
    </row>
    <row r="134" spans="1:16" x14ac:dyDescent="0.3">
      <c r="A134" s="249"/>
      <c r="B134" s="277"/>
      <c r="C134" s="267"/>
      <c r="D134" s="265"/>
      <c r="E134" s="265"/>
      <c r="F134" s="36"/>
      <c r="G134" s="36"/>
      <c r="H134" s="36"/>
      <c r="I134" s="36"/>
      <c r="J134" s="36"/>
      <c r="K134" s="36"/>
      <c r="L134" s="34">
        <f t="shared" si="105"/>
        <v>0</v>
      </c>
      <c r="M134" s="249"/>
      <c r="N134" s="36"/>
      <c r="O134" s="81"/>
      <c r="P134" s="36"/>
    </row>
    <row r="135" spans="1:16" x14ac:dyDescent="0.3">
      <c r="A135" s="249"/>
      <c r="B135" s="277"/>
      <c r="C135" s="267"/>
      <c r="D135" s="265"/>
      <c r="E135" s="265"/>
      <c r="F135" s="36"/>
      <c r="G135" s="36"/>
      <c r="H135" s="36"/>
      <c r="I135" s="36"/>
      <c r="J135" s="36"/>
      <c r="K135" s="36"/>
      <c r="L135" s="34">
        <f t="shared" si="105"/>
        <v>0</v>
      </c>
      <c r="M135" s="249"/>
      <c r="N135" s="36"/>
      <c r="O135" s="73"/>
      <c r="P135" s="36"/>
    </row>
    <row r="136" spans="1:16" ht="15" thickBot="1" x14ac:dyDescent="0.35">
      <c r="A136" s="249"/>
      <c r="B136" s="277"/>
      <c r="C136" s="267"/>
      <c r="D136" s="265"/>
      <c r="E136" s="265"/>
      <c r="F136" s="41"/>
      <c r="G136" s="41"/>
      <c r="H136" s="41"/>
      <c r="I136" s="41"/>
      <c r="J136" s="41"/>
      <c r="K136" s="41"/>
      <c r="L136" s="34">
        <f t="shared" si="105"/>
        <v>0</v>
      </c>
      <c r="M136" s="250"/>
      <c r="N136" s="41"/>
      <c r="O136" s="93"/>
      <c r="P136" s="41"/>
    </row>
    <row r="137" spans="1:16" ht="15.6" thickTop="1" thickBot="1" x14ac:dyDescent="0.35">
      <c r="A137" s="250"/>
      <c r="B137" s="278"/>
      <c r="C137" s="268"/>
      <c r="D137" s="266"/>
      <c r="E137" s="266"/>
      <c r="F137" s="251"/>
      <c r="G137" s="252"/>
      <c r="H137" s="14">
        <f t="shared" ref="H137:K137" si="106">SUM(H132:H136)</f>
        <v>500</v>
      </c>
      <c r="I137" s="14">
        <f t="shared" si="106"/>
        <v>11000</v>
      </c>
      <c r="J137" s="14">
        <f t="shared" si="106"/>
        <v>3000</v>
      </c>
      <c r="K137" s="14">
        <f t="shared" si="106"/>
        <v>0</v>
      </c>
      <c r="L137" s="14">
        <f>SUM(L132:L136)</f>
        <v>14500</v>
      </c>
      <c r="M137" s="14"/>
      <c r="N137" s="14">
        <f>M132-L137</f>
        <v>0</v>
      </c>
      <c r="O137" s="111"/>
      <c r="P137" s="14">
        <f>SUM(P132:P136)</f>
        <v>1500</v>
      </c>
    </row>
    <row r="138" spans="1:16" ht="15" thickTop="1" x14ac:dyDescent="0.3">
      <c r="A138" s="260">
        <f t="shared" ref="A138" si="107">A132+1</f>
        <v>23</v>
      </c>
      <c r="B138" s="279" t="s">
        <v>408</v>
      </c>
      <c r="C138" s="280" t="s">
        <v>141</v>
      </c>
      <c r="D138" s="264" t="s">
        <v>335</v>
      </c>
      <c r="E138" s="296" t="s">
        <v>370</v>
      </c>
      <c r="F138" s="39">
        <v>6792</v>
      </c>
      <c r="G138" s="47" t="s">
        <v>406</v>
      </c>
      <c r="H138" s="34">
        <v>500</v>
      </c>
      <c r="I138" s="34">
        <v>11000</v>
      </c>
      <c r="J138" s="34">
        <v>3000</v>
      </c>
      <c r="K138" s="34"/>
      <c r="L138" s="34">
        <f>SUM(H138:K138)</f>
        <v>14500</v>
      </c>
      <c r="M138" s="249">
        <v>14500</v>
      </c>
      <c r="N138" s="34"/>
      <c r="O138" s="94" t="s">
        <v>240</v>
      </c>
      <c r="P138" s="34">
        <v>1500</v>
      </c>
    </row>
    <row r="139" spans="1:16" x14ac:dyDescent="0.3">
      <c r="A139" s="249"/>
      <c r="B139" s="277"/>
      <c r="C139" s="267"/>
      <c r="D139" s="265"/>
      <c r="E139" s="265"/>
      <c r="F139" s="31"/>
      <c r="G139" s="36"/>
      <c r="H139" s="36"/>
      <c r="I139" s="36"/>
      <c r="J139" s="36"/>
      <c r="K139" s="36"/>
      <c r="L139" s="34">
        <f t="shared" ref="L139:L142" si="108">SUM(H139:K139)</f>
        <v>0</v>
      </c>
      <c r="M139" s="249"/>
      <c r="N139" s="36"/>
      <c r="O139" s="73"/>
      <c r="P139" s="36"/>
    </row>
    <row r="140" spans="1:16" x14ac:dyDescent="0.3">
      <c r="A140" s="249"/>
      <c r="B140" s="277"/>
      <c r="C140" s="267"/>
      <c r="D140" s="265"/>
      <c r="E140" s="265"/>
      <c r="F140" s="36"/>
      <c r="G140" s="36"/>
      <c r="H140" s="36"/>
      <c r="I140" s="36"/>
      <c r="J140" s="36"/>
      <c r="K140" s="36"/>
      <c r="L140" s="34">
        <f t="shared" si="108"/>
        <v>0</v>
      </c>
      <c r="M140" s="249"/>
      <c r="N140" s="36"/>
      <c r="O140" s="81"/>
      <c r="P140" s="36"/>
    </row>
    <row r="141" spans="1:16" x14ac:dyDescent="0.3">
      <c r="A141" s="249"/>
      <c r="B141" s="277"/>
      <c r="C141" s="267"/>
      <c r="D141" s="265"/>
      <c r="E141" s="265"/>
      <c r="F141" s="36"/>
      <c r="G141" s="36"/>
      <c r="H141" s="36"/>
      <c r="I141" s="36"/>
      <c r="J141" s="36"/>
      <c r="K141" s="36"/>
      <c r="L141" s="34">
        <f t="shared" si="108"/>
        <v>0</v>
      </c>
      <c r="M141" s="249"/>
      <c r="N141" s="36"/>
      <c r="O141" s="73"/>
      <c r="P141" s="36"/>
    </row>
    <row r="142" spans="1:16" ht="15" thickBot="1" x14ac:dyDescent="0.35">
      <c r="A142" s="249"/>
      <c r="B142" s="277"/>
      <c r="C142" s="267"/>
      <c r="D142" s="265"/>
      <c r="E142" s="265"/>
      <c r="F142" s="41"/>
      <c r="G142" s="41"/>
      <c r="H142" s="41"/>
      <c r="I142" s="41"/>
      <c r="J142" s="41"/>
      <c r="K142" s="41"/>
      <c r="L142" s="34">
        <f t="shared" si="108"/>
        <v>0</v>
      </c>
      <c r="M142" s="250"/>
      <c r="N142" s="41"/>
      <c r="O142" s="93"/>
      <c r="P142" s="41"/>
    </row>
    <row r="143" spans="1:16" ht="15.6" thickTop="1" thickBot="1" x14ac:dyDescent="0.35">
      <c r="A143" s="250"/>
      <c r="B143" s="278"/>
      <c r="C143" s="268"/>
      <c r="D143" s="266"/>
      <c r="E143" s="266"/>
      <c r="F143" s="251"/>
      <c r="G143" s="252"/>
      <c r="H143" s="14">
        <f t="shared" ref="H143:K143" si="109">SUM(H138:H142)</f>
        <v>500</v>
      </c>
      <c r="I143" s="14">
        <f t="shared" si="109"/>
        <v>11000</v>
      </c>
      <c r="J143" s="14">
        <f t="shared" si="109"/>
        <v>3000</v>
      </c>
      <c r="K143" s="14">
        <f t="shared" si="109"/>
        <v>0</v>
      </c>
      <c r="L143" s="14">
        <f>SUM(L138:L142)</f>
        <v>14500</v>
      </c>
      <c r="M143" s="14"/>
      <c r="N143" s="14">
        <f>M138-L143</f>
        <v>0</v>
      </c>
      <c r="O143" s="111"/>
      <c r="P143" s="14">
        <f>SUM(P138:P142)</f>
        <v>1500</v>
      </c>
    </row>
    <row r="144" spans="1:16" ht="15" thickTop="1" x14ac:dyDescent="0.3">
      <c r="A144" s="260">
        <f t="shared" ref="A144" si="110">A138+1</f>
        <v>24</v>
      </c>
      <c r="B144" s="279" t="s">
        <v>409</v>
      </c>
      <c r="C144" s="280" t="s">
        <v>141</v>
      </c>
      <c r="D144" s="264" t="s">
        <v>335</v>
      </c>
      <c r="E144" s="296" t="s">
        <v>370</v>
      </c>
      <c r="F144" s="39">
        <v>6793</v>
      </c>
      <c r="G144" s="47" t="s">
        <v>343</v>
      </c>
      <c r="H144" s="34">
        <v>500</v>
      </c>
      <c r="I144" s="34">
        <v>11000</v>
      </c>
      <c r="J144" s="34">
        <v>3000</v>
      </c>
      <c r="K144" s="34"/>
      <c r="L144" s="34">
        <f>SUM(H144:K144)</f>
        <v>14500</v>
      </c>
      <c r="M144" s="249">
        <v>14500</v>
      </c>
      <c r="N144" s="34"/>
      <c r="O144" s="94" t="s">
        <v>240</v>
      </c>
      <c r="P144" s="34">
        <v>1500</v>
      </c>
    </row>
    <row r="145" spans="1:16" x14ac:dyDescent="0.3">
      <c r="A145" s="249"/>
      <c r="B145" s="277"/>
      <c r="C145" s="267"/>
      <c r="D145" s="265"/>
      <c r="E145" s="265"/>
      <c r="F145" s="31"/>
      <c r="G145" s="36"/>
      <c r="H145" s="36"/>
      <c r="I145" s="36"/>
      <c r="J145" s="36"/>
      <c r="K145" s="36"/>
      <c r="L145" s="34">
        <f t="shared" ref="L145:L148" si="111">SUM(H145:K145)</f>
        <v>0</v>
      </c>
      <c r="M145" s="249"/>
      <c r="N145" s="36"/>
      <c r="O145" s="73"/>
      <c r="P145" s="36"/>
    </row>
    <row r="146" spans="1:16" x14ac:dyDescent="0.3">
      <c r="A146" s="249"/>
      <c r="B146" s="277"/>
      <c r="C146" s="267"/>
      <c r="D146" s="265"/>
      <c r="E146" s="265"/>
      <c r="F146" s="36"/>
      <c r="G146" s="36"/>
      <c r="H146" s="36"/>
      <c r="I146" s="36"/>
      <c r="J146" s="36"/>
      <c r="K146" s="36"/>
      <c r="L146" s="34">
        <f t="shared" si="111"/>
        <v>0</v>
      </c>
      <c r="M146" s="249"/>
      <c r="N146" s="36"/>
      <c r="O146" s="81"/>
      <c r="P146" s="36"/>
    </row>
    <row r="147" spans="1:16" x14ac:dyDescent="0.3">
      <c r="A147" s="249"/>
      <c r="B147" s="277"/>
      <c r="C147" s="267"/>
      <c r="D147" s="265"/>
      <c r="E147" s="265"/>
      <c r="F147" s="36"/>
      <c r="G147" s="36"/>
      <c r="H147" s="36"/>
      <c r="I147" s="36"/>
      <c r="J147" s="36"/>
      <c r="K147" s="36"/>
      <c r="L147" s="34">
        <f t="shared" si="111"/>
        <v>0</v>
      </c>
      <c r="M147" s="249"/>
      <c r="N147" s="36"/>
      <c r="O147" s="73"/>
      <c r="P147" s="36"/>
    </row>
    <row r="148" spans="1:16" ht="15" thickBot="1" x14ac:dyDescent="0.35">
      <c r="A148" s="249"/>
      <c r="B148" s="277"/>
      <c r="C148" s="267"/>
      <c r="D148" s="265"/>
      <c r="E148" s="265"/>
      <c r="F148" s="41"/>
      <c r="G148" s="41"/>
      <c r="H148" s="41"/>
      <c r="I148" s="41"/>
      <c r="J148" s="41"/>
      <c r="K148" s="41"/>
      <c r="L148" s="34">
        <f t="shared" si="111"/>
        <v>0</v>
      </c>
      <c r="M148" s="250"/>
      <c r="N148" s="41"/>
      <c r="O148" s="93"/>
      <c r="P148" s="41"/>
    </row>
    <row r="149" spans="1:16" ht="15.6" thickTop="1" thickBot="1" x14ac:dyDescent="0.35">
      <c r="A149" s="250"/>
      <c r="B149" s="278"/>
      <c r="C149" s="268"/>
      <c r="D149" s="266"/>
      <c r="E149" s="266"/>
      <c r="F149" s="251"/>
      <c r="G149" s="252"/>
      <c r="H149" s="14">
        <f t="shared" ref="H149:K149" si="112">SUM(H144:H148)</f>
        <v>500</v>
      </c>
      <c r="I149" s="14">
        <f t="shared" si="112"/>
        <v>11000</v>
      </c>
      <c r="J149" s="14">
        <f t="shared" si="112"/>
        <v>3000</v>
      </c>
      <c r="K149" s="14">
        <f t="shared" si="112"/>
        <v>0</v>
      </c>
      <c r="L149" s="14">
        <f>SUM(L144:L148)</f>
        <v>14500</v>
      </c>
      <c r="M149" s="14"/>
      <c r="N149" s="14">
        <f>M144-L149</f>
        <v>0</v>
      </c>
      <c r="O149" s="111"/>
      <c r="P149" s="14">
        <f>SUM(P144:P148)</f>
        <v>1500</v>
      </c>
    </row>
    <row r="150" spans="1:16" ht="15" thickTop="1" x14ac:dyDescent="0.3">
      <c r="A150" s="248">
        <f t="shared" ref="A150" si="113">A144+1</f>
        <v>25</v>
      </c>
      <c r="B150" s="283" t="s">
        <v>410</v>
      </c>
      <c r="C150" s="286" t="s">
        <v>88</v>
      </c>
      <c r="D150" s="286" t="s">
        <v>411</v>
      </c>
      <c r="E150" s="292" t="s">
        <v>412</v>
      </c>
      <c r="F150" s="3">
        <v>6795</v>
      </c>
      <c r="G150" s="29" t="s">
        <v>413</v>
      </c>
      <c r="H150" s="20">
        <v>500</v>
      </c>
      <c r="I150" s="20">
        <v>3500</v>
      </c>
      <c r="J150" s="20">
        <v>3000</v>
      </c>
      <c r="K150" s="20"/>
      <c r="L150" s="20">
        <f>SUM(H150:K150)</f>
        <v>7000</v>
      </c>
      <c r="M150" s="241">
        <v>14500</v>
      </c>
      <c r="N150" s="20"/>
      <c r="O150" s="86" t="s">
        <v>295</v>
      </c>
      <c r="P150" s="20"/>
    </row>
    <row r="151" spans="1:16" x14ac:dyDescent="0.3">
      <c r="A151" s="241"/>
      <c r="B151" s="284"/>
      <c r="C151" s="287"/>
      <c r="D151" s="287"/>
      <c r="E151" s="287"/>
      <c r="F151" s="16"/>
      <c r="G151" s="4"/>
      <c r="H151" s="4"/>
      <c r="I151" s="4"/>
      <c r="J151" s="4"/>
      <c r="K151" s="4"/>
      <c r="L151" s="20">
        <f t="shared" ref="L151:L154" si="114">SUM(H151:K151)</f>
        <v>0</v>
      </c>
      <c r="M151" s="241"/>
      <c r="N151" s="4"/>
      <c r="O151" s="71"/>
      <c r="P151" s="4"/>
    </row>
    <row r="152" spans="1:16" x14ac:dyDescent="0.3">
      <c r="A152" s="241"/>
      <c r="B152" s="284"/>
      <c r="C152" s="287"/>
      <c r="D152" s="287"/>
      <c r="E152" s="287"/>
      <c r="F152" s="4"/>
      <c r="G152" s="4"/>
      <c r="H152" s="4"/>
      <c r="I152" s="4"/>
      <c r="J152" s="4"/>
      <c r="K152" s="4"/>
      <c r="L152" s="20">
        <f t="shared" si="114"/>
        <v>0</v>
      </c>
      <c r="M152" s="241"/>
      <c r="N152" s="4"/>
      <c r="O152" s="78"/>
      <c r="P152" s="4"/>
    </row>
    <row r="153" spans="1:16" x14ac:dyDescent="0.3">
      <c r="A153" s="241"/>
      <c r="B153" s="284"/>
      <c r="C153" s="287"/>
      <c r="D153" s="287"/>
      <c r="E153" s="287"/>
      <c r="F153" s="4"/>
      <c r="G153" s="4"/>
      <c r="H153" s="4"/>
      <c r="I153" s="4"/>
      <c r="J153" s="4"/>
      <c r="K153" s="4"/>
      <c r="L153" s="20">
        <f t="shared" si="114"/>
        <v>0</v>
      </c>
      <c r="M153" s="241"/>
      <c r="N153" s="4"/>
      <c r="O153" s="71"/>
      <c r="P153" s="4"/>
    </row>
    <row r="154" spans="1:16" ht="15" thickBot="1" x14ac:dyDescent="0.35">
      <c r="A154" s="241"/>
      <c r="B154" s="284"/>
      <c r="C154" s="287"/>
      <c r="D154" s="287"/>
      <c r="E154" s="287"/>
      <c r="F154" s="6"/>
      <c r="G154" s="6"/>
      <c r="H154" s="6"/>
      <c r="I154" s="6"/>
      <c r="J154" s="6"/>
      <c r="K154" s="6"/>
      <c r="L154" s="20">
        <f t="shared" si="114"/>
        <v>0</v>
      </c>
      <c r="M154" s="242"/>
      <c r="N154" s="6"/>
      <c r="O154" s="87"/>
      <c r="P154" s="6"/>
    </row>
    <row r="155" spans="1:16" ht="15.6" thickTop="1" thickBot="1" x14ac:dyDescent="0.35">
      <c r="A155" s="242"/>
      <c r="B155" s="285"/>
      <c r="C155" s="288"/>
      <c r="D155" s="288"/>
      <c r="E155" s="288"/>
      <c r="F155" s="243"/>
      <c r="G155" s="244"/>
      <c r="H155" s="8">
        <f t="shared" ref="H155:K155" si="115">SUM(H150:H154)</f>
        <v>500</v>
      </c>
      <c r="I155" s="8">
        <f t="shared" si="115"/>
        <v>3500</v>
      </c>
      <c r="J155" s="8">
        <f t="shared" si="115"/>
        <v>3000</v>
      </c>
      <c r="K155" s="8">
        <f t="shared" si="115"/>
        <v>0</v>
      </c>
      <c r="L155" s="8">
        <f>SUM(L150:L154)</f>
        <v>7000</v>
      </c>
      <c r="M155" s="8"/>
      <c r="N155" s="8">
        <f>M150-L155</f>
        <v>7500</v>
      </c>
      <c r="O155" s="100"/>
      <c r="P155" s="8">
        <f>SUM(P150:P154)</f>
        <v>0</v>
      </c>
    </row>
    <row r="156" spans="1:16" ht="15" thickTop="1" x14ac:dyDescent="0.3">
      <c r="A156" s="248">
        <f t="shared" ref="A156" si="116">A150+1</f>
        <v>26</v>
      </c>
      <c r="B156" s="283" t="s">
        <v>414</v>
      </c>
      <c r="C156" s="286" t="s">
        <v>400</v>
      </c>
      <c r="D156" s="256" t="s">
        <v>415</v>
      </c>
      <c r="E156" s="292" t="s">
        <v>416</v>
      </c>
      <c r="F156" s="3">
        <v>6796</v>
      </c>
      <c r="G156" s="29" t="s">
        <v>413</v>
      </c>
      <c r="H156" s="20">
        <v>500</v>
      </c>
      <c r="I156" s="20">
        <v>6500</v>
      </c>
      <c r="J156" s="20">
        <v>3000</v>
      </c>
      <c r="K156" s="20"/>
      <c r="L156" s="20">
        <f>SUM(H156:K156)</f>
        <v>10000</v>
      </c>
      <c r="M156" s="241">
        <v>14500</v>
      </c>
      <c r="N156" s="20"/>
      <c r="O156" s="86" t="s">
        <v>295</v>
      </c>
      <c r="P156" s="20"/>
    </row>
    <row r="157" spans="1:16" x14ac:dyDescent="0.3">
      <c r="A157" s="241"/>
      <c r="B157" s="284"/>
      <c r="C157" s="287"/>
      <c r="D157" s="257"/>
      <c r="E157" s="287"/>
      <c r="F157" s="16"/>
      <c r="G157" s="4"/>
      <c r="H157" s="4"/>
      <c r="I157" s="4"/>
      <c r="J157" s="4"/>
      <c r="K157" s="4"/>
      <c r="L157" s="20">
        <f t="shared" ref="L157:L160" si="117">SUM(H157:K157)</f>
        <v>0</v>
      </c>
      <c r="M157" s="241"/>
      <c r="N157" s="4"/>
      <c r="O157" s="71"/>
      <c r="P157" s="4"/>
    </row>
    <row r="158" spans="1:16" x14ac:dyDescent="0.3">
      <c r="A158" s="241"/>
      <c r="B158" s="284"/>
      <c r="C158" s="287"/>
      <c r="D158" s="257"/>
      <c r="E158" s="287"/>
      <c r="F158" s="4"/>
      <c r="G158" s="4"/>
      <c r="H158" s="4"/>
      <c r="I158" s="4"/>
      <c r="J158" s="4"/>
      <c r="K158" s="4"/>
      <c r="L158" s="20">
        <f t="shared" si="117"/>
        <v>0</v>
      </c>
      <c r="M158" s="241"/>
      <c r="N158" s="4"/>
      <c r="O158" s="78"/>
      <c r="P158" s="4"/>
    </row>
    <row r="159" spans="1:16" x14ac:dyDescent="0.3">
      <c r="A159" s="241"/>
      <c r="B159" s="284"/>
      <c r="C159" s="287"/>
      <c r="D159" s="257"/>
      <c r="E159" s="287"/>
      <c r="F159" s="4"/>
      <c r="G159" s="4"/>
      <c r="H159" s="4"/>
      <c r="I159" s="4"/>
      <c r="J159" s="4"/>
      <c r="K159" s="4"/>
      <c r="L159" s="20">
        <f t="shared" si="117"/>
        <v>0</v>
      </c>
      <c r="M159" s="241"/>
      <c r="N159" s="4"/>
      <c r="O159" s="71"/>
      <c r="P159" s="4"/>
    </row>
    <row r="160" spans="1:16" ht="15" thickBot="1" x14ac:dyDescent="0.35">
      <c r="A160" s="241"/>
      <c r="B160" s="284"/>
      <c r="C160" s="287"/>
      <c r="D160" s="257"/>
      <c r="E160" s="287"/>
      <c r="F160" s="6"/>
      <c r="G160" s="6"/>
      <c r="H160" s="6"/>
      <c r="I160" s="6"/>
      <c r="J160" s="6"/>
      <c r="K160" s="6"/>
      <c r="L160" s="20">
        <f t="shared" si="117"/>
        <v>0</v>
      </c>
      <c r="M160" s="242"/>
      <c r="N160" s="6"/>
      <c r="O160" s="87"/>
      <c r="P160" s="6"/>
    </row>
    <row r="161" spans="1:16" ht="15.6" thickTop="1" thickBot="1" x14ac:dyDescent="0.35">
      <c r="A161" s="242"/>
      <c r="B161" s="285"/>
      <c r="C161" s="288"/>
      <c r="D161" s="258"/>
      <c r="E161" s="288"/>
      <c r="F161" s="243"/>
      <c r="G161" s="244"/>
      <c r="H161" s="8">
        <f t="shared" ref="H161:K161" si="118">SUM(H156:H160)</f>
        <v>500</v>
      </c>
      <c r="I161" s="8">
        <f t="shared" si="118"/>
        <v>6500</v>
      </c>
      <c r="J161" s="8">
        <f t="shared" si="118"/>
        <v>3000</v>
      </c>
      <c r="K161" s="8">
        <f t="shared" si="118"/>
        <v>0</v>
      </c>
      <c r="L161" s="8">
        <f>SUM(L156:L160)</f>
        <v>10000</v>
      </c>
      <c r="M161" s="8"/>
      <c r="N161" s="8">
        <f>M156-L161</f>
        <v>4500</v>
      </c>
      <c r="O161" s="100"/>
      <c r="P161" s="8">
        <f>SUM(P156:P160)</f>
        <v>0</v>
      </c>
    </row>
    <row r="162" spans="1:16" ht="15" thickTop="1" x14ac:dyDescent="0.3">
      <c r="A162" s="260">
        <f t="shared" ref="A162" si="119">A156+1</f>
        <v>27</v>
      </c>
      <c r="B162" s="279" t="s">
        <v>417</v>
      </c>
      <c r="C162" s="280" t="s">
        <v>114</v>
      </c>
      <c r="D162" s="264" t="s">
        <v>418</v>
      </c>
      <c r="E162" s="296" t="s">
        <v>419</v>
      </c>
      <c r="F162" s="39">
        <v>6807</v>
      </c>
      <c r="G162" s="47" t="s">
        <v>403</v>
      </c>
      <c r="H162" s="34">
        <v>500</v>
      </c>
      <c r="I162" s="34">
        <v>3000</v>
      </c>
      <c r="J162" s="34">
        <v>3000</v>
      </c>
      <c r="K162" s="34"/>
      <c r="L162" s="34">
        <f>SUM(H162:K162)</f>
        <v>6500</v>
      </c>
      <c r="M162" s="249">
        <v>14500</v>
      </c>
      <c r="N162" s="34"/>
      <c r="O162" s="94"/>
      <c r="P162" s="34">
        <v>1500</v>
      </c>
    </row>
    <row r="163" spans="1:16" x14ac:dyDescent="0.3">
      <c r="A163" s="249"/>
      <c r="B163" s="277"/>
      <c r="C163" s="267"/>
      <c r="D163" s="265"/>
      <c r="E163" s="265"/>
      <c r="F163" s="31">
        <v>6937</v>
      </c>
      <c r="G163" s="36" t="s">
        <v>533</v>
      </c>
      <c r="H163" s="36"/>
      <c r="I163" s="36">
        <v>8000</v>
      </c>
      <c r="J163" s="36"/>
      <c r="K163" s="36"/>
      <c r="L163" s="34">
        <f t="shared" ref="L163:L166" si="120">SUM(H163:K163)</f>
        <v>8000</v>
      </c>
      <c r="M163" s="249"/>
      <c r="N163" s="36"/>
      <c r="O163" s="73"/>
      <c r="P163" s="36"/>
    </row>
    <row r="164" spans="1:16" x14ac:dyDescent="0.3">
      <c r="A164" s="249"/>
      <c r="B164" s="277"/>
      <c r="C164" s="267"/>
      <c r="D164" s="265"/>
      <c r="E164" s="265"/>
      <c r="F164" s="36"/>
      <c r="G164" s="36"/>
      <c r="H164" s="36"/>
      <c r="I164" s="36"/>
      <c r="J164" s="36"/>
      <c r="K164" s="36"/>
      <c r="L164" s="34">
        <f t="shared" si="120"/>
        <v>0</v>
      </c>
      <c r="M164" s="249"/>
      <c r="N164" s="36"/>
      <c r="O164" s="81"/>
      <c r="P164" s="36"/>
    </row>
    <row r="165" spans="1:16" x14ac:dyDescent="0.3">
      <c r="A165" s="249"/>
      <c r="B165" s="277"/>
      <c r="C165" s="267"/>
      <c r="D165" s="265"/>
      <c r="E165" s="265"/>
      <c r="F165" s="36"/>
      <c r="G165" s="36"/>
      <c r="H165" s="36"/>
      <c r="I165" s="36"/>
      <c r="J165" s="36"/>
      <c r="K165" s="36"/>
      <c r="L165" s="34">
        <f t="shared" si="120"/>
        <v>0</v>
      </c>
      <c r="M165" s="249"/>
      <c r="N165" s="36"/>
      <c r="O165" s="73"/>
      <c r="P165" s="36"/>
    </row>
    <row r="166" spans="1:16" ht="15" thickBot="1" x14ac:dyDescent="0.35">
      <c r="A166" s="249"/>
      <c r="B166" s="277"/>
      <c r="C166" s="267"/>
      <c r="D166" s="265"/>
      <c r="E166" s="265"/>
      <c r="F166" s="41"/>
      <c r="G166" s="41"/>
      <c r="H166" s="41"/>
      <c r="I166" s="41"/>
      <c r="J166" s="41"/>
      <c r="K166" s="41"/>
      <c r="L166" s="34">
        <f t="shared" si="120"/>
        <v>0</v>
      </c>
      <c r="M166" s="250"/>
      <c r="N166" s="41"/>
      <c r="O166" s="93"/>
      <c r="P166" s="41"/>
    </row>
    <row r="167" spans="1:16" ht="15.6" thickTop="1" thickBot="1" x14ac:dyDescent="0.35">
      <c r="A167" s="250"/>
      <c r="B167" s="278"/>
      <c r="C167" s="268"/>
      <c r="D167" s="266"/>
      <c r="E167" s="266"/>
      <c r="F167" s="251"/>
      <c r="G167" s="252"/>
      <c r="H167" s="14">
        <f t="shared" ref="H167:K167" si="121">SUM(H162:H166)</f>
        <v>500</v>
      </c>
      <c r="I167" s="14">
        <f t="shared" si="121"/>
        <v>11000</v>
      </c>
      <c r="J167" s="14">
        <f t="shared" si="121"/>
        <v>3000</v>
      </c>
      <c r="K167" s="14">
        <f t="shared" si="121"/>
        <v>0</v>
      </c>
      <c r="L167" s="14">
        <f>SUM(L162:L166)</f>
        <v>14500</v>
      </c>
      <c r="M167" s="14"/>
      <c r="N167" s="14">
        <f>M162-L167</f>
        <v>0</v>
      </c>
      <c r="O167" s="111"/>
      <c r="P167" s="14">
        <f>SUM(P162:P166)</f>
        <v>1500</v>
      </c>
    </row>
    <row r="168" spans="1:16" ht="15" thickTop="1" x14ac:dyDescent="0.3">
      <c r="A168" s="248">
        <f t="shared" ref="A168" si="122">A162+1</f>
        <v>28</v>
      </c>
      <c r="B168" s="253" t="s">
        <v>420</v>
      </c>
      <c r="C168" s="256" t="s">
        <v>312</v>
      </c>
      <c r="D168" s="286" t="s">
        <v>789</v>
      </c>
      <c r="E168" s="292" t="s">
        <v>416</v>
      </c>
      <c r="F168" s="3">
        <v>6809</v>
      </c>
      <c r="G168" s="29" t="s">
        <v>403</v>
      </c>
      <c r="H168" s="20">
        <v>500</v>
      </c>
      <c r="I168" s="20">
        <v>1000</v>
      </c>
      <c r="J168" s="20"/>
      <c r="K168" s="20"/>
      <c r="L168" s="20">
        <f>SUM(H168:K168)</f>
        <v>1500</v>
      </c>
      <c r="M168" s="241">
        <v>14500</v>
      </c>
      <c r="N168" s="20"/>
      <c r="O168" s="86" t="s">
        <v>295</v>
      </c>
      <c r="P168" s="20"/>
    </row>
    <row r="169" spans="1:16" x14ac:dyDescent="0.3">
      <c r="A169" s="241"/>
      <c r="B169" s="254"/>
      <c r="C169" s="257"/>
      <c r="D169" s="287"/>
      <c r="E169" s="287"/>
      <c r="F169" s="16">
        <v>6854</v>
      </c>
      <c r="G169" s="4" t="s">
        <v>499</v>
      </c>
      <c r="H169" s="4"/>
      <c r="I169" s="4"/>
      <c r="J169" s="4">
        <v>2000</v>
      </c>
      <c r="K169" s="4"/>
      <c r="L169" s="20">
        <f t="shared" ref="L169:L172" si="123">SUM(H169:K169)</f>
        <v>2000</v>
      </c>
      <c r="M169" s="241"/>
      <c r="N169" s="4"/>
      <c r="O169" s="71"/>
      <c r="P169" s="4"/>
    </row>
    <row r="170" spans="1:16" x14ac:dyDescent="0.3">
      <c r="A170" s="241"/>
      <c r="B170" s="254"/>
      <c r="C170" s="257"/>
      <c r="D170" s="287"/>
      <c r="E170" s="287"/>
      <c r="F170" s="4">
        <v>6954</v>
      </c>
      <c r="G170" s="4" t="s">
        <v>530</v>
      </c>
      <c r="H170" s="4"/>
      <c r="I170" s="4">
        <v>1000</v>
      </c>
      <c r="J170" s="4">
        <v>1000</v>
      </c>
      <c r="K170" s="4"/>
      <c r="L170" s="20">
        <f t="shared" si="123"/>
        <v>2000</v>
      </c>
      <c r="M170" s="241"/>
      <c r="N170" s="4"/>
      <c r="O170" s="78"/>
      <c r="P170" s="4"/>
    </row>
    <row r="171" spans="1:16" x14ac:dyDescent="0.3">
      <c r="A171" s="241"/>
      <c r="B171" s="254"/>
      <c r="C171" s="257"/>
      <c r="D171" s="287"/>
      <c r="E171" s="287"/>
      <c r="F171" s="4"/>
      <c r="G171" s="4"/>
      <c r="H171" s="4"/>
      <c r="I171" s="4"/>
      <c r="J171" s="4"/>
      <c r="K171" s="4"/>
      <c r="L171" s="20">
        <f t="shared" si="123"/>
        <v>0</v>
      </c>
      <c r="M171" s="241"/>
      <c r="N171" s="4"/>
      <c r="O171" s="71"/>
      <c r="P171" s="4"/>
    </row>
    <row r="172" spans="1:16" ht="15" thickBot="1" x14ac:dyDescent="0.35">
      <c r="A172" s="241"/>
      <c r="B172" s="254"/>
      <c r="C172" s="257"/>
      <c r="D172" s="287"/>
      <c r="E172" s="287"/>
      <c r="F172" s="6"/>
      <c r="G172" s="6"/>
      <c r="H172" s="6"/>
      <c r="I172" s="6"/>
      <c r="J172" s="6"/>
      <c r="K172" s="6"/>
      <c r="L172" s="20">
        <f t="shared" si="123"/>
        <v>0</v>
      </c>
      <c r="M172" s="242"/>
      <c r="N172" s="6"/>
      <c r="O172" s="87"/>
      <c r="P172" s="6"/>
    </row>
    <row r="173" spans="1:16" ht="15.6" thickTop="1" thickBot="1" x14ac:dyDescent="0.35">
      <c r="A173" s="242"/>
      <c r="B173" s="255"/>
      <c r="C173" s="258"/>
      <c r="D173" s="288"/>
      <c r="E173" s="288"/>
      <c r="F173" s="243"/>
      <c r="G173" s="244"/>
      <c r="H173" s="8">
        <f t="shared" ref="H173:K173" si="124">SUM(H168:H172)</f>
        <v>500</v>
      </c>
      <c r="I173" s="8">
        <f t="shared" si="124"/>
        <v>2000</v>
      </c>
      <c r="J173" s="8">
        <f t="shared" si="124"/>
        <v>3000</v>
      </c>
      <c r="K173" s="8">
        <f t="shared" si="124"/>
        <v>0</v>
      </c>
      <c r="L173" s="8">
        <f>SUM(L168:L172)</f>
        <v>5500</v>
      </c>
      <c r="M173" s="8"/>
      <c r="N173" s="8">
        <f>M168-L173</f>
        <v>9000</v>
      </c>
      <c r="O173" s="100"/>
      <c r="P173" s="8">
        <f>SUM(P168:P172)</f>
        <v>0</v>
      </c>
    </row>
    <row r="174" spans="1:16" ht="15" thickTop="1" x14ac:dyDescent="0.3">
      <c r="A174" s="248">
        <f t="shared" ref="A174" si="125">A168+1</f>
        <v>29</v>
      </c>
      <c r="B174" s="253" t="s">
        <v>422</v>
      </c>
      <c r="C174" s="256" t="s">
        <v>367</v>
      </c>
      <c r="D174" s="286" t="s">
        <v>421</v>
      </c>
      <c r="E174" s="292" t="s">
        <v>423</v>
      </c>
      <c r="F174" s="3">
        <v>6816</v>
      </c>
      <c r="G174" s="29" t="s">
        <v>424</v>
      </c>
      <c r="H174" s="20">
        <v>500</v>
      </c>
      <c r="I174" s="20">
        <v>3000</v>
      </c>
      <c r="J174" s="20">
        <v>3000</v>
      </c>
      <c r="K174" s="20"/>
      <c r="L174" s="20">
        <f>SUM(H174:K174)</f>
        <v>6500</v>
      </c>
      <c r="M174" s="241">
        <v>14500</v>
      </c>
      <c r="N174" s="20"/>
      <c r="O174" s="86"/>
      <c r="P174" s="20">
        <v>1500</v>
      </c>
    </row>
    <row r="175" spans="1:16" x14ac:dyDescent="0.3">
      <c r="A175" s="241"/>
      <c r="B175" s="254"/>
      <c r="C175" s="257"/>
      <c r="D175" s="287"/>
      <c r="E175" s="287"/>
      <c r="F175" s="16">
        <v>7078</v>
      </c>
      <c r="G175" s="4" t="s">
        <v>913</v>
      </c>
      <c r="H175" s="4"/>
      <c r="I175" s="4">
        <v>4000</v>
      </c>
      <c r="J175" s="4"/>
      <c r="K175" s="4"/>
      <c r="L175" s="20">
        <f t="shared" ref="L175:L178" si="126">SUM(H175:K175)</f>
        <v>4000</v>
      </c>
      <c r="M175" s="241"/>
      <c r="N175" s="4"/>
      <c r="O175" s="71"/>
      <c r="P175" s="4"/>
    </row>
    <row r="176" spans="1:16" x14ac:dyDescent="0.3">
      <c r="A176" s="241"/>
      <c r="B176" s="254"/>
      <c r="C176" s="257"/>
      <c r="D176" s="287"/>
      <c r="E176" s="287"/>
      <c r="F176" s="4"/>
      <c r="G176" s="4"/>
      <c r="H176" s="4"/>
      <c r="I176" s="4"/>
      <c r="J176" s="4"/>
      <c r="K176" s="4"/>
      <c r="L176" s="20">
        <f t="shared" si="126"/>
        <v>0</v>
      </c>
      <c r="M176" s="241"/>
      <c r="N176" s="4"/>
      <c r="O176" s="78"/>
      <c r="P176" s="4"/>
    </row>
    <row r="177" spans="1:16" x14ac:dyDescent="0.3">
      <c r="A177" s="241"/>
      <c r="B177" s="254"/>
      <c r="C177" s="257"/>
      <c r="D177" s="287"/>
      <c r="E177" s="287"/>
      <c r="F177" s="4"/>
      <c r="G177" s="4"/>
      <c r="H177" s="4"/>
      <c r="I177" s="4"/>
      <c r="J177" s="4"/>
      <c r="K177" s="4"/>
      <c r="L177" s="20">
        <f t="shared" si="126"/>
        <v>0</v>
      </c>
      <c r="M177" s="241"/>
      <c r="N177" s="4"/>
      <c r="O177" s="71"/>
      <c r="P177" s="4"/>
    </row>
    <row r="178" spans="1:16" ht="15" thickBot="1" x14ac:dyDescent="0.35">
      <c r="A178" s="241"/>
      <c r="B178" s="254"/>
      <c r="C178" s="257"/>
      <c r="D178" s="287"/>
      <c r="E178" s="287"/>
      <c r="F178" s="6"/>
      <c r="G178" s="6"/>
      <c r="H178" s="6"/>
      <c r="I178" s="6"/>
      <c r="J178" s="6"/>
      <c r="K178" s="6"/>
      <c r="L178" s="20">
        <f t="shared" si="126"/>
        <v>0</v>
      </c>
      <c r="M178" s="242"/>
      <c r="N178" s="6"/>
      <c r="O178" s="87"/>
      <c r="P178" s="6"/>
    </row>
    <row r="179" spans="1:16" ht="15.6" thickTop="1" thickBot="1" x14ac:dyDescent="0.35">
      <c r="A179" s="242"/>
      <c r="B179" s="255"/>
      <c r="C179" s="258"/>
      <c r="D179" s="288"/>
      <c r="E179" s="288"/>
      <c r="F179" s="243"/>
      <c r="G179" s="244"/>
      <c r="H179" s="8">
        <f t="shared" ref="H179:K179" si="127">SUM(H174:H178)</f>
        <v>500</v>
      </c>
      <c r="I179" s="8">
        <f t="shared" si="127"/>
        <v>7000</v>
      </c>
      <c r="J179" s="8">
        <f t="shared" si="127"/>
        <v>3000</v>
      </c>
      <c r="K179" s="8">
        <f t="shared" si="127"/>
        <v>0</v>
      </c>
      <c r="L179" s="8">
        <f>SUM(L174:L178)</f>
        <v>10500</v>
      </c>
      <c r="M179" s="8"/>
      <c r="N179" s="8">
        <f>M174-L179</f>
        <v>4000</v>
      </c>
      <c r="O179" s="100"/>
      <c r="P179" s="8">
        <f>SUM(P174:P178)</f>
        <v>1500</v>
      </c>
    </row>
    <row r="180" spans="1:16" ht="15" thickTop="1" x14ac:dyDescent="0.3">
      <c r="A180" s="260">
        <f t="shared" ref="A180" si="128">A174+1</f>
        <v>30</v>
      </c>
      <c r="B180" s="261" t="s">
        <v>425</v>
      </c>
      <c r="C180" s="280" t="s">
        <v>312</v>
      </c>
      <c r="D180" s="280" t="s">
        <v>426</v>
      </c>
      <c r="E180" s="296" t="s">
        <v>238</v>
      </c>
      <c r="F180" s="39">
        <v>6794</v>
      </c>
      <c r="G180" s="47" t="s">
        <v>413</v>
      </c>
      <c r="H180" s="34">
        <v>500</v>
      </c>
      <c r="I180" s="34">
        <v>11000</v>
      </c>
      <c r="J180" s="34">
        <v>3000</v>
      </c>
      <c r="K180" s="34"/>
      <c r="L180" s="34">
        <f>SUM(H180:K180)</f>
        <v>14500</v>
      </c>
      <c r="M180" s="249">
        <v>14500</v>
      </c>
      <c r="N180" s="34"/>
      <c r="O180" s="94" t="s">
        <v>295</v>
      </c>
      <c r="P180" s="34"/>
    </row>
    <row r="181" spans="1:16" x14ac:dyDescent="0.3">
      <c r="A181" s="249"/>
      <c r="B181" s="262"/>
      <c r="C181" s="267"/>
      <c r="D181" s="267"/>
      <c r="E181" s="265"/>
      <c r="F181" s="31"/>
      <c r="G181" s="36"/>
      <c r="H181" s="36"/>
      <c r="I181" s="36"/>
      <c r="J181" s="36"/>
      <c r="K181" s="36"/>
      <c r="L181" s="34">
        <f t="shared" ref="L181:L184" si="129">SUM(H181:K181)</f>
        <v>0</v>
      </c>
      <c r="M181" s="249"/>
      <c r="N181" s="36"/>
      <c r="O181" s="73"/>
      <c r="P181" s="36"/>
    </row>
    <row r="182" spans="1:16" x14ac:dyDescent="0.3">
      <c r="A182" s="249"/>
      <c r="B182" s="262"/>
      <c r="C182" s="267"/>
      <c r="D182" s="267"/>
      <c r="E182" s="265"/>
      <c r="F182" s="36"/>
      <c r="G182" s="36"/>
      <c r="H182" s="36"/>
      <c r="I182" s="36"/>
      <c r="J182" s="36"/>
      <c r="K182" s="36"/>
      <c r="L182" s="34">
        <f t="shared" si="129"/>
        <v>0</v>
      </c>
      <c r="M182" s="249"/>
      <c r="N182" s="36"/>
      <c r="O182" s="81"/>
      <c r="P182" s="36"/>
    </row>
    <row r="183" spans="1:16" x14ac:dyDescent="0.3">
      <c r="A183" s="249"/>
      <c r="B183" s="262"/>
      <c r="C183" s="267"/>
      <c r="D183" s="267"/>
      <c r="E183" s="265"/>
      <c r="F183" s="36"/>
      <c r="G183" s="36"/>
      <c r="H183" s="36"/>
      <c r="I183" s="36"/>
      <c r="J183" s="36"/>
      <c r="K183" s="36"/>
      <c r="L183" s="34">
        <f t="shared" si="129"/>
        <v>0</v>
      </c>
      <c r="M183" s="249"/>
      <c r="N183" s="36"/>
      <c r="O183" s="73"/>
      <c r="P183" s="36"/>
    </row>
    <row r="184" spans="1:16" ht="15" thickBot="1" x14ac:dyDescent="0.35">
      <c r="A184" s="249"/>
      <c r="B184" s="262"/>
      <c r="C184" s="267"/>
      <c r="D184" s="267"/>
      <c r="E184" s="265"/>
      <c r="F184" s="41"/>
      <c r="G184" s="41"/>
      <c r="H184" s="41"/>
      <c r="I184" s="41"/>
      <c r="J184" s="41"/>
      <c r="K184" s="41"/>
      <c r="L184" s="34">
        <f t="shared" si="129"/>
        <v>0</v>
      </c>
      <c r="M184" s="250"/>
      <c r="N184" s="41"/>
      <c r="O184" s="93"/>
      <c r="P184" s="41"/>
    </row>
    <row r="185" spans="1:16" ht="15.6" thickTop="1" thickBot="1" x14ac:dyDescent="0.35">
      <c r="A185" s="250"/>
      <c r="B185" s="263"/>
      <c r="C185" s="268"/>
      <c r="D185" s="268"/>
      <c r="E185" s="266"/>
      <c r="F185" s="251"/>
      <c r="G185" s="252"/>
      <c r="H185" s="14">
        <f t="shared" ref="H185:K185" si="130">SUM(H180:H184)</f>
        <v>500</v>
      </c>
      <c r="I185" s="14">
        <f t="shared" si="130"/>
        <v>11000</v>
      </c>
      <c r="J185" s="14">
        <f t="shared" si="130"/>
        <v>3000</v>
      </c>
      <c r="K185" s="14">
        <f t="shared" si="130"/>
        <v>0</v>
      </c>
      <c r="L185" s="14">
        <f>SUM(L180:L184)</f>
        <v>14500</v>
      </c>
      <c r="M185" s="14"/>
      <c r="N185" s="14">
        <f>M180-L185</f>
        <v>0</v>
      </c>
      <c r="O185" s="111"/>
      <c r="P185" s="14">
        <f>SUM(P180:P184)</f>
        <v>0</v>
      </c>
    </row>
    <row r="186" spans="1:16" ht="15" thickTop="1" x14ac:dyDescent="0.3">
      <c r="A186" s="248">
        <f t="shared" ref="A186" si="131">A180+1</f>
        <v>31</v>
      </c>
      <c r="B186" s="253" t="s">
        <v>617</v>
      </c>
      <c r="C186" s="256" t="s">
        <v>185</v>
      </c>
      <c r="D186" s="286" t="s">
        <v>618</v>
      </c>
      <c r="E186" s="292" t="s">
        <v>619</v>
      </c>
      <c r="F186" s="3">
        <v>6822</v>
      </c>
      <c r="G186" s="29" t="s">
        <v>620</v>
      </c>
      <c r="H186" s="20">
        <v>500</v>
      </c>
      <c r="I186" s="20">
        <v>3000</v>
      </c>
      <c r="J186" s="20"/>
      <c r="K186" s="20"/>
      <c r="L186" s="20">
        <f>SUM(H186:K186)</f>
        <v>3500</v>
      </c>
      <c r="M186" s="241">
        <v>14500</v>
      </c>
      <c r="N186" s="20"/>
      <c r="O186" s="86"/>
      <c r="P186" s="20">
        <v>1500</v>
      </c>
    </row>
    <row r="187" spans="1:16" x14ac:dyDescent="0.3">
      <c r="A187" s="241"/>
      <c r="B187" s="254"/>
      <c r="C187" s="257"/>
      <c r="D187" s="287"/>
      <c r="E187" s="287"/>
      <c r="F187" s="16"/>
      <c r="G187" s="4"/>
      <c r="H187" s="4"/>
      <c r="I187" s="4"/>
      <c r="J187" s="4"/>
      <c r="K187" s="4"/>
      <c r="L187" s="20">
        <f t="shared" ref="L187:L190" si="132">SUM(H187:K187)</f>
        <v>0</v>
      </c>
      <c r="M187" s="241"/>
      <c r="N187" s="4"/>
      <c r="O187" s="71"/>
      <c r="P187" s="4"/>
    </row>
    <row r="188" spans="1:16" x14ac:dyDescent="0.3">
      <c r="A188" s="241"/>
      <c r="B188" s="254"/>
      <c r="C188" s="257"/>
      <c r="D188" s="287"/>
      <c r="E188" s="287"/>
      <c r="F188" s="4"/>
      <c r="G188" s="4"/>
      <c r="H188" s="4"/>
      <c r="I188" s="4"/>
      <c r="J188" s="4"/>
      <c r="K188" s="4"/>
      <c r="L188" s="20">
        <f t="shared" si="132"/>
        <v>0</v>
      </c>
      <c r="M188" s="241"/>
      <c r="N188" s="4"/>
      <c r="O188" s="78"/>
      <c r="P188" s="4"/>
    </row>
    <row r="189" spans="1:16" x14ac:dyDescent="0.3">
      <c r="A189" s="241"/>
      <c r="B189" s="254"/>
      <c r="C189" s="257"/>
      <c r="D189" s="287"/>
      <c r="E189" s="287"/>
      <c r="F189" s="4"/>
      <c r="G189" s="4"/>
      <c r="H189" s="4"/>
      <c r="I189" s="4"/>
      <c r="J189" s="4"/>
      <c r="K189" s="4"/>
      <c r="L189" s="20">
        <f t="shared" si="132"/>
        <v>0</v>
      </c>
      <c r="M189" s="241"/>
      <c r="N189" s="4"/>
      <c r="O189" s="71"/>
      <c r="P189" s="4"/>
    </row>
    <row r="190" spans="1:16" ht="15" thickBot="1" x14ac:dyDescent="0.35">
      <c r="A190" s="241"/>
      <c r="B190" s="254"/>
      <c r="C190" s="257"/>
      <c r="D190" s="287"/>
      <c r="E190" s="287"/>
      <c r="F190" s="6"/>
      <c r="G190" s="6"/>
      <c r="H190" s="6"/>
      <c r="I190" s="6"/>
      <c r="J190" s="6"/>
      <c r="K190" s="6"/>
      <c r="L190" s="20">
        <f t="shared" si="132"/>
        <v>0</v>
      </c>
      <c r="M190" s="242"/>
      <c r="N190" s="6"/>
      <c r="O190" s="87"/>
      <c r="P190" s="6"/>
    </row>
    <row r="191" spans="1:16" ht="15.6" thickTop="1" thickBot="1" x14ac:dyDescent="0.35">
      <c r="A191" s="242"/>
      <c r="B191" s="255"/>
      <c r="C191" s="258"/>
      <c r="D191" s="288"/>
      <c r="E191" s="288"/>
      <c r="F191" s="243"/>
      <c r="G191" s="244"/>
      <c r="H191" s="8">
        <f t="shared" ref="H191:K191" si="133">SUM(H186:H190)</f>
        <v>500</v>
      </c>
      <c r="I191" s="8">
        <f t="shared" si="133"/>
        <v>3000</v>
      </c>
      <c r="J191" s="8">
        <f t="shared" si="133"/>
        <v>0</v>
      </c>
      <c r="K191" s="8">
        <f t="shared" si="133"/>
        <v>0</v>
      </c>
      <c r="L191" s="8">
        <f>SUM(L186:L190)</f>
        <v>3500</v>
      </c>
      <c r="M191" s="8"/>
      <c r="N191" s="8">
        <f>M186-L191</f>
        <v>11000</v>
      </c>
      <c r="O191" s="100"/>
      <c r="P191" s="8">
        <f>SUM(P186:P190)</f>
        <v>1500</v>
      </c>
    </row>
    <row r="192" spans="1:16" ht="15" thickTop="1" x14ac:dyDescent="0.3">
      <c r="A192" s="248">
        <v>32</v>
      </c>
      <c r="B192" s="253" t="s">
        <v>623</v>
      </c>
      <c r="C192" s="256" t="s">
        <v>133</v>
      </c>
      <c r="D192" s="256" t="s">
        <v>624</v>
      </c>
      <c r="E192" s="259" t="s">
        <v>625</v>
      </c>
      <c r="F192" s="3">
        <v>6827</v>
      </c>
      <c r="G192" s="29" t="s">
        <v>622</v>
      </c>
      <c r="H192" s="20">
        <v>500</v>
      </c>
      <c r="I192" s="20">
        <v>4500</v>
      </c>
      <c r="J192" s="20">
        <v>3000</v>
      </c>
      <c r="K192" s="20"/>
      <c r="L192" s="20">
        <f>SUM(H192:K192)</f>
        <v>8000</v>
      </c>
      <c r="M192" s="241">
        <v>14500</v>
      </c>
      <c r="N192" s="20"/>
      <c r="O192" s="86" t="s">
        <v>295</v>
      </c>
      <c r="P192" s="20"/>
    </row>
    <row r="193" spans="1:16" x14ac:dyDescent="0.3">
      <c r="A193" s="241"/>
      <c r="B193" s="254"/>
      <c r="C193" s="257"/>
      <c r="D193" s="257"/>
      <c r="E193" s="257"/>
      <c r="F193" s="16"/>
      <c r="G193" s="4"/>
      <c r="H193" s="4"/>
      <c r="I193" s="4"/>
      <c r="J193" s="4"/>
      <c r="K193" s="4"/>
      <c r="L193" s="20">
        <f t="shared" ref="L193:L196" si="134">SUM(H193:K193)</f>
        <v>0</v>
      </c>
      <c r="M193" s="241"/>
      <c r="N193" s="4"/>
      <c r="O193" s="71" t="s">
        <v>240</v>
      </c>
      <c r="P193" s="4"/>
    </row>
    <row r="194" spans="1:16" x14ac:dyDescent="0.3">
      <c r="A194" s="241"/>
      <c r="B194" s="254"/>
      <c r="C194" s="257"/>
      <c r="D194" s="257"/>
      <c r="E194" s="257"/>
      <c r="F194" s="4"/>
      <c r="G194" s="4"/>
      <c r="H194" s="4"/>
      <c r="I194" s="4"/>
      <c r="J194" s="4"/>
      <c r="K194" s="4"/>
      <c r="L194" s="20">
        <f t="shared" si="134"/>
        <v>0</v>
      </c>
      <c r="M194" s="241"/>
      <c r="N194" s="4"/>
      <c r="O194" s="78"/>
      <c r="P194" s="4"/>
    </row>
    <row r="195" spans="1:16" x14ac:dyDescent="0.3">
      <c r="A195" s="241"/>
      <c r="B195" s="254"/>
      <c r="C195" s="257"/>
      <c r="D195" s="257"/>
      <c r="E195" s="257"/>
      <c r="F195" s="4"/>
      <c r="G195" s="4"/>
      <c r="H195" s="4"/>
      <c r="I195" s="4"/>
      <c r="J195" s="4"/>
      <c r="K195" s="4"/>
      <c r="L195" s="20">
        <f t="shared" si="134"/>
        <v>0</v>
      </c>
      <c r="M195" s="241"/>
      <c r="N195" s="4"/>
      <c r="O195" s="71"/>
      <c r="P195" s="4"/>
    </row>
    <row r="196" spans="1:16" ht="15" thickBot="1" x14ac:dyDescent="0.35">
      <c r="A196" s="241"/>
      <c r="B196" s="254"/>
      <c r="C196" s="257"/>
      <c r="D196" s="257"/>
      <c r="E196" s="257"/>
      <c r="F196" s="6"/>
      <c r="G196" s="6"/>
      <c r="H196" s="6"/>
      <c r="I196" s="6"/>
      <c r="J196" s="6"/>
      <c r="K196" s="6"/>
      <c r="L196" s="20">
        <f t="shared" si="134"/>
        <v>0</v>
      </c>
      <c r="M196" s="242"/>
      <c r="N196" s="6"/>
      <c r="O196" s="87"/>
      <c r="P196" s="6"/>
    </row>
    <row r="197" spans="1:16" ht="15.6" thickTop="1" thickBot="1" x14ac:dyDescent="0.35">
      <c r="A197" s="242"/>
      <c r="B197" s="255"/>
      <c r="C197" s="258"/>
      <c r="D197" s="258"/>
      <c r="E197" s="258"/>
      <c r="F197" s="243"/>
      <c r="G197" s="244"/>
      <c r="H197" s="8">
        <f t="shared" ref="H197:K197" si="135">SUM(H192:H196)</f>
        <v>500</v>
      </c>
      <c r="I197" s="8">
        <f t="shared" si="135"/>
        <v>4500</v>
      </c>
      <c r="J197" s="8">
        <f t="shared" si="135"/>
        <v>3000</v>
      </c>
      <c r="K197" s="8">
        <f t="shared" si="135"/>
        <v>0</v>
      </c>
      <c r="L197" s="8">
        <f>SUM(L192:L196)</f>
        <v>8000</v>
      </c>
      <c r="M197" s="8"/>
      <c r="N197" s="8">
        <f>M192-L197</f>
        <v>6500</v>
      </c>
      <c r="O197" s="100"/>
      <c r="P197" s="8">
        <f>SUM(P192:P196)</f>
        <v>0</v>
      </c>
    </row>
    <row r="198" spans="1:16" ht="15" thickTop="1" x14ac:dyDescent="0.3">
      <c r="A198" s="260">
        <f t="shared" ref="A198" si="136">A192+1</f>
        <v>33</v>
      </c>
      <c r="B198" s="279" t="s">
        <v>626</v>
      </c>
      <c r="C198" s="280" t="s">
        <v>185</v>
      </c>
      <c r="D198" s="280" t="s">
        <v>618</v>
      </c>
      <c r="E198" s="264" t="s">
        <v>604</v>
      </c>
      <c r="F198" s="39">
        <v>6828</v>
      </c>
      <c r="G198" s="47" t="s">
        <v>627</v>
      </c>
      <c r="H198" s="34">
        <v>500</v>
      </c>
      <c r="I198" s="34">
        <v>11000</v>
      </c>
      <c r="J198" s="34">
        <v>3000</v>
      </c>
      <c r="K198" s="34"/>
      <c r="L198" s="34">
        <f>SUM(H198:K198)</f>
        <v>14500</v>
      </c>
      <c r="M198" s="249">
        <v>14500</v>
      </c>
      <c r="N198" s="34"/>
      <c r="O198" s="94" t="s">
        <v>240</v>
      </c>
      <c r="P198" s="34">
        <v>1500</v>
      </c>
    </row>
    <row r="199" spans="1:16" x14ac:dyDescent="0.3">
      <c r="A199" s="249"/>
      <c r="B199" s="277"/>
      <c r="C199" s="267"/>
      <c r="D199" s="267"/>
      <c r="E199" s="265"/>
      <c r="F199" s="31"/>
      <c r="G199" s="36"/>
      <c r="H199" s="36"/>
      <c r="I199" s="36"/>
      <c r="J199" s="36"/>
      <c r="K199" s="36"/>
      <c r="L199" s="34">
        <f t="shared" ref="L199:L202" si="137">SUM(H199:K199)</f>
        <v>0</v>
      </c>
      <c r="M199" s="249"/>
      <c r="N199" s="36"/>
      <c r="O199" s="73"/>
      <c r="P199" s="36"/>
    </row>
    <row r="200" spans="1:16" x14ac:dyDescent="0.3">
      <c r="A200" s="249"/>
      <c r="B200" s="277"/>
      <c r="C200" s="267"/>
      <c r="D200" s="267"/>
      <c r="E200" s="265"/>
      <c r="F200" s="36"/>
      <c r="G200" s="36"/>
      <c r="H200" s="36"/>
      <c r="I200" s="36"/>
      <c r="J200" s="36"/>
      <c r="K200" s="36"/>
      <c r="L200" s="34">
        <f t="shared" si="137"/>
        <v>0</v>
      </c>
      <c r="M200" s="249"/>
      <c r="N200" s="36"/>
      <c r="O200" s="81"/>
      <c r="P200" s="36"/>
    </row>
    <row r="201" spans="1:16" x14ac:dyDescent="0.3">
      <c r="A201" s="249"/>
      <c r="B201" s="277"/>
      <c r="C201" s="267"/>
      <c r="D201" s="267"/>
      <c r="E201" s="265"/>
      <c r="F201" s="36"/>
      <c r="G201" s="36"/>
      <c r="H201" s="36"/>
      <c r="I201" s="36"/>
      <c r="J201" s="36"/>
      <c r="K201" s="36"/>
      <c r="L201" s="34">
        <f t="shared" si="137"/>
        <v>0</v>
      </c>
      <c r="M201" s="249"/>
      <c r="N201" s="36"/>
      <c r="O201" s="73"/>
      <c r="P201" s="36"/>
    </row>
    <row r="202" spans="1:16" ht="15" thickBot="1" x14ac:dyDescent="0.35">
      <c r="A202" s="249"/>
      <c r="B202" s="277"/>
      <c r="C202" s="267"/>
      <c r="D202" s="267"/>
      <c r="E202" s="265"/>
      <c r="F202" s="41"/>
      <c r="G202" s="41"/>
      <c r="H202" s="41"/>
      <c r="I202" s="41"/>
      <c r="J202" s="41"/>
      <c r="K202" s="41"/>
      <c r="L202" s="34">
        <f t="shared" si="137"/>
        <v>0</v>
      </c>
      <c r="M202" s="250"/>
      <c r="N202" s="41"/>
      <c r="O202" s="93"/>
      <c r="P202" s="41"/>
    </row>
    <row r="203" spans="1:16" ht="15.6" thickTop="1" thickBot="1" x14ac:dyDescent="0.35">
      <c r="A203" s="250"/>
      <c r="B203" s="278"/>
      <c r="C203" s="268"/>
      <c r="D203" s="268"/>
      <c r="E203" s="266"/>
      <c r="F203" s="251"/>
      <c r="G203" s="252"/>
      <c r="H203" s="14">
        <f t="shared" ref="H203:K203" si="138">SUM(H198:H202)</f>
        <v>500</v>
      </c>
      <c r="I203" s="14">
        <f t="shared" si="138"/>
        <v>11000</v>
      </c>
      <c r="J203" s="14">
        <f t="shared" si="138"/>
        <v>3000</v>
      </c>
      <c r="K203" s="14">
        <f t="shared" si="138"/>
        <v>0</v>
      </c>
      <c r="L203" s="14">
        <f>SUM(L198:L202)</f>
        <v>14500</v>
      </c>
      <c r="M203" s="14"/>
      <c r="N203" s="14">
        <f>M198-L203</f>
        <v>0</v>
      </c>
      <c r="O203" s="111"/>
      <c r="P203" s="14">
        <f>SUM(P198:P202)</f>
        <v>1500</v>
      </c>
    </row>
    <row r="204" spans="1:16" ht="15" thickTop="1" x14ac:dyDescent="0.3">
      <c r="A204" s="260">
        <f t="shared" ref="A204" si="139">A198+1</f>
        <v>34</v>
      </c>
      <c r="B204" s="279" t="s">
        <v>632</v>
      </c>
      <c r="C204" s="280" t="s">
        <v>114</v>
      </c>
      <c r="D204" s="264" t="s">
        <v>633</v>
      </c>
      <c r="E204" s="296" t="s">
        <v>634</v>
      </c>
      <c r="F204" s="39">
        <v>6831</v>
      </c>
      <c r="G204" s="47" t="s">
        <v>485</v>
      </c>
      <c r="H204" s="34">
        <v>500</v>
      </c>
      <c r="I204" s="34">
        <v>11000</v>
      </c>
      <c r="J204" s="34">
        <v>3000</v>
      </c>
      <c r="K204" s="34"/>
      <c r="L204" s="34">
        <f>SUM(H204:K204)</f>
        <v>14500</v>
      </c>
      <c r="M204" s="249">
        <v>14500</v>
      </c>
      <c r="N204" s="34"/>
      <c r="O204" s="94" t="s">
        <v>240</v>
      </c>
      <c r="P204" s="34">
        <v>1500</v>
      </c>
    </row>
    <row r="205" spans="1:16" x14ac:dyDescent="0.3">
      <c r="A205" s="249"/>
      <c r="B205" s="277"/>
      <c r="C205" s="267"/>
      <c r="D205" s="265"/>
      <c r="E205" s="265"/>
      <c r="F205" s="31"/>
      <c r="G205" s="36"/>
      <c r="H205" s="36"/>
      <c r="I205" s="36"/>
      <c r="J205" s="36"/>
      <c r="K205" s="36"/>
      <c r="L205" s="34">
        <f t="shared" ref="L205:L208" si="140">SUM(H205:K205)</f>
        <v>0</v>
      </c>
      <c r="M205" s="249"/>
      <c r="N205" s="36"/>
      <c r="O205" s="73"/>
      <c r="P205" s="36"/>
    </row>
    <row r="206" spans="1:16" x14ac:dyDescent="0.3">
      <c r="A206" s="249"/>
      <c r="B206" s="277"/>
      <c r="C206" s="267"/>
      <c r="D206" s="265"/>
      <c r="E206" s="265"/>
      <c r="F206" s="36"/>
      <c r="G206" s="36"/>
      <c r="H206" s="36"/>
      <c r="I206" s="36"/>
      <c r="J206" s="36"/>
      <c r="K206" s="36"/>
      <c r="L206" s="34">
        <f t="shared" si="140"/>
        <v>0</v>
      </c>
      <c r="M206" s="249"/>
      <c r="N206" s="36"/>
      <c r="O206" s="81"/>
      <c r="P206" s="36"/>
    </row>
    <row r="207" spans="1:16" x14ac:dyDescent="0.3">
      <c r="A207" s="249"/>
      <c r="B207" s="277"/>
      <c r="C207" s="267"/>
      <c r="D207" s="265"/>
      <c r="E207" s="265"/>
      <c r="F207" s="36"/>
      <c r="G207" s="36"/>
      <c r="H207" s="36"/>
      <c r="I207" s="36"/>
      <c r="J207" s="36"/>
      <c r="K207" s="36"/>
      <c r="L207" s="34">
        <f t="shared" si="140"/>
        <v>0</v>
      </c>
      <c r="M207" s="249"/>
      <c r="N207" s="36"/>
      <c r="O207" s="73"/>
      <c r="P207" s="36"/>
    </row>
    <row r="208" spans="1:16" ht="15" thickBot="1" x14ac:dyDescent="0.35">
      <c r="A208" s="249"/>
      <c r="B208" s="277"/>
      <c r="C208" s="267"/>
      <c r="D208" s="265"/>
      <c r="E208" s="265"/>
      <c r="F208" s="41"/>
      <c r="G208" s="41"/>
      <c r="H208" s="41"/>
      <c r="I208" s="41"/>
      <c r="J208" s="41"/>
      <c r="K208" s="41"/>
      <c r="L208" s="34">
        <f t="shared" si="140"/>
        <v>0</v>
      </c>
      <c r="M208" s="250"/>
      <c r="N208" s="41"/>
      <c r="O208" s="93"/>
      <c r="P208" s="41"/>
    </row>
    <row r="209" spans="1:16" ht="15.6" thickTop="1" thickBot="1" x14ac:dyDescent="0.35">
      <c r="A209" s="250"/>
      <c r="B209" s="278"/>
      <c r="C209" s="268"/>
      <c r="D209" s="266"/>
      <c r="E209" s="266"/>
      <c r="F209" s="251"/>
      <c r="G209" s="252"/>
      <c r="H209" s="14">
        <f t="shared" ref="H209:K209" si="141">SUM(H204:H208)</f>
        <v>500</v>
      </c>
      <c r="I209" s="14">
        <f t="shared" si="141"/>
        <v>11000</v>
      </c>
      <c r="J209" s="14">
        <f t="shared" si="141"/>
        <v>3000</v>
      </c>
      <c r="K209" s="14">
        <f t="shared" si="141"/>
        <v>0</v>
      </c>
      <c r="L209" s="14">
        <f>SUM(L204:L208)</f>
        <v>14500</v>
      </c>
      <c r="M209" s="14"/>
      <c r="N209" s="14">
        <f>M204-L209</f>
        <v>0</v>
      </c>
      <c r="O209" s="111"/>
      <c r="P209" s="14">
        <f>SUM(P204:P208)</f>
        <v>1500</v>
      </c>
    </row>
    <row r="210" spans="1:16" ht="15" thickTop="1" x14ac:dyDescent="0.3">
      <c r="A210" s="248">
        <f t="shared" ref="A210" si="142">A204+1</f>
        <v>35</v>
      </c>
      <c r="B210" s="283" t="s">
        <v>635</v>
      </c>
      <c r="C210" s="286" t="s">
        <v>636</v>
      </c>
      <c r="D210" s="286" t="s">
        <v>637</v>
      </c>
      <c r="E210" s="292" t="s">
        <v>638</v>
      </c>
      <c r="F210" s="3">
        <v>6836</v>
      </c>
      <c r="G210" s="29" t="s">
        <v>485</v>
      </c>
      <c r="H210" s="20">
        <v>500</v>
      </c>
      <c r="I210" s="20">
        <v>6500</v>
      </c>
      <c r="J210" s="20">
        <v>3000</v>
      </c>
      <c r="K210" s="20"/>
      <c r="L210" s="20">
        <f>SUM(H210:K210)</f>
        <v>10000</v>
      </c>
      <c r="M210" s="241">
        <v>14500</v>
      </c>
      <c r="N210" s="20"/>
      <c r="O210" s="86" t="s">
        <v>295</v>
      </c>
      <c r="P210" s="20"/>
    </row>
    <row r="211" spans="1:16" x14ac:dyDescent="0.3">
      <c r="A211" s="241"/>
      <c r="B211" s="284"/>
      <c r="C211" s="287"/>
      <c r="D211" s="287"/>
      <c r="E211" s="287"/>
      <c r="F211" s="16"/>
      <c r="G211" s="4"/>
      <c r="H211" s="4"/>
      <c r="I211" s="4"/>
      <c r="J211" s="4"/>
      <c r="K211" s="4"/>
      <c r="L211" s="20">
        <f t="shared" ref="L211:L214" si="143">SUM(H211:K211)</f>
        <v>0</v>
      </c>
      <c r="M211" s="241"/>
      <c r="N211" s="4"/>
      <c r="O211" s="71" t="s">
        <v>240</v>
      </c>
      <c r="P211" s="4"/>
    </row>
    <row r="212" spans="1:16" x14ac:dyDescent="0.3">
      <c r="A212" s="241"/>
      <c r="B212" s="284"/>
      <c r="C212" s="287"/>
      <c r="D212" s="287"/>
      <c r="E212" s="287"/>
      <c r="F212" s="4"/>
      <c r="G212" s="4"/>
      <c r="H212" s="4"/>
      <c r="I212" s="4"/>
      <c r="J212" s="4"/>
      <c r="K212" s="4"/>
      <c r="L212" s="20">
        <f t="shared" si="143"/>
        <v>0</v>
      </c>
      <c r="M212" s="241"/>
      <c r="N212" s="4"/>
      <c r="O212" s="78"/>
      <c r="P212" s="4"/>
    </row>
    <row r="213" spans="1:16" x14ac:dyDescent="0.3">
      <c r="A213" s="241"/>
      <c r="B213" s="284"/>
      <c r="C213" s="287"/>
      <c r="D213" s="287"/>
      <c r="E213" s="287"/>
      <c r="F213" s="4"/>
      <c r="G213" s="4"/>
      <c r="H213" s="4"/>
      <c r="I213" s="4"/>
      <c r="J213" s="4"/>
      <c r="K213" s="4"/>
      <c r="L213" s="20">
        <f t="shared" si="143"/>
        <v>0</v>
      </c>
      <c r="M213" s="241"/>
      <c r="N213" s="4"/>
      <c r="O213" s="71"/>
      <c r="P213" s="4"/>
    </row>
    <row r="214" spans="1:16" ht="15" thickBot="1" x14ac:dyDescent="0.35">
      <c r="A214" s="241"/>
      <c r="B214" s="284"/>
      <c r="C214" s="287"/>
      <c r="D214" s="287"/>
      <c r="E214" s="287"/>
      <c r="F214" s="6"/>
      <c r="G214" s="6"/>
      <c r="H214" s="6"/>
      <c r="I214" s="6"/>
      <c r="J214" s="6"/>
      <c r="K214" s="6"/>
      <c r="L214" s="20">
        <f t="shared" si="143"/>
        <v>0</v>
      </c>
      <c r="M214" s="242"/>
      <c r="N214" s="6"/>
      <c r="O214" s="87"/>
      <c r="P214" s="6"/>
    </row>
    <row r="215" spans="1:16" ht="15.6" thickTop="1" thickBot="1" x14ac:dyDescent="0.35">
      <c r="A215" s="242"/>
      <c r="B215" s="285"/>
      <c r="C215" s="288"/>
      <c r="D215" s="288"/>
      <c r="E215" s="288"/>
      <c r="F215" s="243"/>
      <c r="G215" s="244"/>
      <c r="H215" s="8">
        <f t="shared" ref="H215:K215" si="144">SUM(H210:H214)</f>
        <v>500</v>
      </c>
      <c r="I215" s="8">
        <f t="shared" si="144"/>
        <v>6500</v>
      </c>
      <c r="J215" s="8">
        <f t="shared" si="144"/>
        <v>3000</v>
      </c>
      <c r="K215" s="8">
        <f t="shared" si="144"/>
        <v>0</v>
      </c>
      <c r="L215" s="8">
        <f>SUM(L210:L214)</f>
        <v>10000</v>
      </c>
      <c r="M215" s="8"/>
      <c r="N215" s="8">
        <f>M210-L215</f>
        <v>4500</v>
      </c>
      <c r="O215" s="100"/>
      <c r="P215" s="8">
        <f>SUM(P210:P214)</f>
        <v>0</v>
      </c>
    </row>
    <row r="216" spans="1:16" ht="15" thickTop="1" x14ac:dyDescent="0.3">
      <c r="A216" s="248">
        <f t="shared" ref="A216" si="145">A210+1</f>
        <v>36</v>
      </c>
      <c r="B216" s="253" t="s">
        <v>639</v>
      </c>
      <c r="C216" s="256" t="s">
        <v>636</v>
      </c>
      <c r="D216" s="257" t="s">
        <v>640</v>
      </c>
      <c r="E216" s="259" t="s">
        <v>641</v>
      </c>
      <c r="F216" s="3">
        <v>6838</v>
      </c>
      <c r="G216" s="29" t="s">
        <v>493</v>
      </c>
      <c r="H216" s="20">
        <v>500</v>
      </c>
      <c r="I216" s="20">
        <v>6500</v>
      </c>
      <c r="J216" s="20">
        <v>3000</v>
      </c>
      <c r="K216" s="20"/>
      <c r="L216" s="20">
        <f>SUM(H216:K216)</f>
        <v>10000</v>
      </c>
      <c r="M216" s="241">
        <v>14500</v>
      </c>
      <c r="N216" s="20"/>
      <c r="O216" s="86" t="s">
        <v>295</v>
      </c>
      <c r="P216" s="20"/>
    </row>
    <row r="217" spans="1:16" x14ac:dyDescent="0.3">
      <c r="A217" s="241"/>
      <c r="B217" s="254"/>
      <c r="C217" s="257"/>
      <c r="D217" s="257"/>
      <c r="E217" s="257"/>
      <c r="F217" s="16"/>
      <c r="G217" s="4"/>
      <c r="H217" s="4"/>
      <c r="I217" s="4"/>
      <c r="J217" s="4"/>
      <c r="K217" s="4"/>
      <c r="L217" s="20">
        <f t="shared" ref="L217:L220" si="146">SUM(H217:K217)</f>
        <v>0</v>
      </c>
      <c r="M217" s="241"/>
      <c r="N217" s="4"/>
      <c r="O217" s="71" t="s">
        <v>240</v>
      </c>
      <c r="P217" s="4"/>
    </row>
    <row r="218" spans="1:16" x14ac:dyDescent="0.3">
      <c r="A218" s="241"/>
      <c r="B218" s="254"/>
      <c r="C218" s="257"/>
      <c r="D218" s="257"/>
      <c r="E218" s="257"/>
      <c r="F218" s="4"/>
      <c r="G218" s="4"/>
      <c r="H218" s="4"/>
      <c r="I218" s="4"/>
      <c r="J218" s="4"/>
      <c r="K218" s="4"/>
      <c r="L218" s="20">
        <f t="shared" si="146"/>
        <v>0</v>
      </c>
      <c r="M218" s="241"/>
      <c r="N218" s="4"/>
      <c r="O218" s="78"/>
      <c r="P218" s="4"/>
    </row>
    <row r="219" spans="1:16" x14ac:dyDescent="0.3">
      <c r="A219" s="241"/>
      <c r="B219" s="254"/>
      <c r="C219" s="257"/>
      <c r="D219" s="257"/>
      <c r="E219" s="257"/>
      <c r="F219" s="4"/>
      <c r="G219" s="4"/>
      <c r="H219" s="4"/>
      <c r="I219" s="4"/>
      <c r="J219" s="4"/>
      <c r="K219" s="4"/>
      <c r="L219" s="20">
        <f t="shared" si="146"/>
        <v>0</v>
      </c>
      <c r="M219" s="241"/>
      <c r="N219" s="4"/>
      <c r="O219" s="71"/>
      <c r="P219" s="4"/>
    </row>
    <row r="220" spans="1:16" ht="15" thickBot="1" x14ac:dyDescent="0.35">
      <c r="A220" s="241"/>
      <c r="B220" s="254"/>
      <c r="C220" s="257"/>
      <c r="D220" s="257"/>
      <c r="E220" s="257"/>
      <c r="F220" s="6"/>
      <c r="G220" s="6"/>
      <c r="H220" s="6"/>
      <c r="I220" s="6"/>
      <c r="J220" s="6"/>
      <c r="K220" s="6"/>
      <c r="L220" s="20">
        <f t="shared" si="146"/>
        <v>0</v>
      </c>
      <c r="M220" s="242"/>
      <c r="N220" s="6"/>
      <c r="O220" s="87"/>
      <c r="P220" s="6"/>
    </row>
    <row r="221" spans="1:16" ht="15.6" thickTop="1" thickBot="1" x14ac:dyDescent="0.35">
      <c r="A221" s="242"/>
      <c r="B221" s="255"/>
      <c r="C221" s="258"/>
      <c r="D221" s="258"/>
      <c r="E221" s="258"/>
      <c r="F221" s="243"/>
      <c r="G221" s="244"/>
      <c r="H221" s="8">
        <f t="shared" ref="H221:K221" si="147">SUM(H216:H220)</f>
        <v>500</v>
      </c>
      <c r="I221" s="8">
        <f t="shared" si="147"/>
        <v>6500</v>
      </c>
      <c r="J221" s="8">
        <f t="shared" si="147"/>
        <v>3000</v>
      </c>
      <c r="K221" s="8">
        <f t="shared" si="147"/>
        <v>0</v>
      </c>
      <c r="L221" s="8">
        <f>SUM(L216:L220)</f>
        <v>10000</v>
      </c>
      <c r="M221" s="8"/>
      <c r="N221" s="8">
        <f>M216-L221</f>
        <v>4500</v>
      </c>
      <c r="O221" s="100"/>
      <c r="P221" s="8">
        <f>SUM(P216:P220)</f>
        <v>0</v>
      </c>
    </row>
    <row r="222" spans="1:16" ht="15" thickTop="1" x14ac:dyDescent="0.3">
      <c r="A222" s="260">
        <f t="shared" ref="A222" si="148">A216+1</f>
        <v>37</v>
      </c>
      <c r="B222" s="261" t="s">
        <v>642</v>
      </c>
      <c r="C222" s="264" t="s">
        <v>136</v>
      </c>
      <c r="D222" s="280" t="s">
        <v>426</v>
      </c>
      <c r="E222" s="269" t="s">
        <v>644</v>
      </c>
      <c r="F222" s="39">
        <v>6844</v>
      </c>
      <c r="G222" s="47" t="s">
        <v>645</v>
      </c>
      <c r="H222" s="34">
        <v>500</v>
      </c>
      <c r="I222" s="34">
        <v>11000</v>
      </c>
      <c r="J222" s="34">
        <v>3000</v>
      </c>
      <c r="K222" s="34"/>
      <c r="L222" s="34">
        <f>SUM(H222:K222)</f>
        <v>14500</v>
      </c>
      <c r="M222" s="249">
        <v>14500</v>
      </c>
      <c r="N222" s="34"/>
      <c r="O222" s="94" t="s">
        <v>295</v>
      </c>
      <c r="P222" s="34"/>
    </row>
    <row r="223" spans="1:16" x14ac:dyDescent="0.3">
      <c r="A223" s="249"/>
      <c r="B223" s="262"/>
      <c r="C223" s="265"/>
      <c r="D223" s="267"/>
      <c r="E223" s="265"/>
      <c r="F223" s="31"/>
      <c r="G223" s="36"/>
      <c r="H223" s="36"/>
      <c r="I223" s="36"/>
      <c r="J223" s="36"/>
      <c r="K223" s="36"/>
      <c r="L223" s="34">
        <f t="shared" ref="L223:L226" si="149">SUM(H223:K223)</f>
        <v>0</v>
      </c>
      <c r="M223" s="249"/>
      <c r="N223" s="36"/>
      <c r="O223" s="73" t="s">
        <v>240</v>
      </c>
      <c r="P223" s="36"/>
    </row>
    <row r="224" spans="1:16" x14ac:dyDescent="0.3">
      <c r="A224" s="249"/>
      <c r="B224" s="262"/>
      <c r="C224" s="265"/>
      <c r="D224" s="267"/>
      <c r="E224" s="265"/>
      <c r="F224" s="36"/>
      <c r="G224" s="36"/>
      <c r="H224" s="36"/>
      <c r="I224" s="36"/>
      <c r="J224" s="36"/>
      <c r="K224" s="36"/>
      <c r="L224" s="34">
        <f t="shared" si="149"/>
        <v>0</v>
      </c>
      <c r="M224" s="249"/>
      <c r="N224" s="36"/>
      <c r="O224" s="81"/>
      <c r="P224" s="36"/>
    </row>
    <row r="225" spans="1:16" x14ac:dyDescent="0.3">
      <c r="A225" s="249"/>
      <c r="B225" s="262"/>
      <c r="C225" s="265"/>
      <c r="D225" s="267"/>
      <c r="E225" s="265"/>
      <c r="F225" s="36"/>
      <c r="G225" s="36"/>
      <c r="H225" s="36"/>
      <c r="I225" s="36"/>
      <c r="J225" s="36"/>
      <c r="K225" s="36"/>
      <c r="L225" s="34">
        <f t="shared" si="149"/>
        <v>0</v>
      </c>
      <c r="M225" s="249"/>
      <c r="N225" s="36"/>
      <c r="O225" s="73"/>
      <c r="P225" s="36"/>
    </row>
    <row r="226" spans="1:16" ht="15" thickBot="1" x14ac:dyDescent="0.35">
      <c r="A226" s="249"/>
      <c r="B226" s="262"/>
      <c r="C226" s="265"/>
      <c r="D226" s="267"/>
      <c r="E226" s="265"/>
      <c r="F226" s="41"/>
      <c r="G226" s="41"/>
      <c r="H226" s="41"/>
      <c r="I226" s="41"/>
      <c r="J226" s="41"/>
      <c r="K226" s="41"/>
      <c r="L226" s="34">
        <f t="shared" si="149"/>
        <v>0</v>
      </c>
      <c r="M226" s="250"/>
      <c r="N226" s="41"/>
      <c r="O226" s="93"/>
      <c r="P226" s="41"/>
    </row>
    <row r="227" spans="1:16" ht="15.6" thickTop="1" thickBot="1" x14ac:dyDescent="0.35">
      <c r="A227" s="250"/>
      <c r="B227" s="263"/>
      <c r="C227" s="266"/>
      <c r="D227" s="268"/>
      <c r="E227" s="266"/>
      <c r="F227" s="251"/>
      <c r="G227" s="252"/>
      <c r="H227" s="14">
        <f t="shared" ref="H227:K227" si="150">SUM(H222:H226)</f>
        <v>500</v>
      </c>
      <c r="I227" s="14">
        <f t="shared" si="150"/>
        <v>11000</v>
      </c>
      <c r="J227" s="14">
        <f t="shared" si="150"/>
        <v>3000</v>
      </c>
      <c r="K227" s="14">
        <f t="shared" si="150"/>
        <v>0</v>
      </c>
      <c r="L227" s="14">
        <f>SUM(L222:L226)</f>
        <v>14500</v>
      </c>
      <c r="M227" s="14"/>
      <c r="N227" s="14">
        <f>M222-L227</f>
        <v>0</v>
      </c>
      <c r="O227" s="111"/>
      <c r="P227" s="14">
        <f>SUM(P222:P226)</f>
        <v>0</v>
      </c>
    </row>
    <row r="228" spans="1:16" ht="15" thickTop="1" x14ac:dyDescent="0.3">
      <c r="A228" s="248">
        <f t="shared" ref="A228" si="151">A222+1</f>
        <v>38</v>
      </c>
      <c r="B228" s="253" t="s">
        <v>646</v>
      </c>
      <c r="C228" s="256" t="s">
        <v>189</v>
      </c>
      <c r="D228" s="286" t="s">
        <v>618</v>
      </c>
      <c r="E228" s="292" t="s">
        <v>647</v>
      </c>
      <c r="F228" s="3">
        <v>6849</v>
      </c>
      <c r="G228" s="29" t="s">
        <v>648</v>
      </c>
      <c r="H228" s="20">
        <v>500</v>
      </c>
      <c r="I228" s="20">
        <v>3000</v>
      </c>
      <c r="J228" s="20">
        <v>3000</v>
      </c>
      <c r="K228" s="20"/>
      <c r="L228" s="20">
        <f>SUM(H228:K228)</f>
        <v>6500</v>
      </c>
      <c r="M228" s="241">
        <v>14500</v>
      </c>
      <c r="N228" s="20"/>
      <c r="O228" s="86" t="s">
        <v>240</v>
      </c>
      <c r="P228" s="20">
        <v>1500</v>
      </c>
    </row>
    <row r="229" spans="1:16" x14ac:dyDescent="0.3">
      <c r="A229" s="241"/>
      <c r="B229" s="254"/>
      <c r="C229" s="257"/>
      <c r="D229" s="287"/>
      <c r="E229" s="287"/>
      <c r="F229" s="16"/>
      <c r="G229" s="4"/>
      <c r="H229" s="4"/>
      <c r="I229" s="4"/>
      <c r="J229" s="4"/>
      <c r="K229" s="4"/>
      <c r="L229" s="20">
        <f t="shared" ref="L229:L232" si="152">SUM(H229:K229)</f>
        <v>0</v>
      </c>
      <c r="M229" s="241"/>
      <c r="N229" s="4"/>
      <c r="O229" s="71"/>
      <c r="P229" s="4"/>
    </row>
    <row r="230" spans="1:16" x14ac:dyDescent="0.3">
      <c r="A230" s="241"/>
      <c r="B230" s="254"/>
      <c r="C230" s="257"/>
      <c r="D230" s="287"/>
      <c r="E230" s="287"/>
      <c r="F230" s="4"/>
      <c r="G230" s="4"/>
      <c r="H230" s="4"/>
      <c r="I230" s="4"/>
      <c r="J230" s="4"/>
      <c r="K230" s="4"/>
      <c r="L230" s="20">
        <f t="shared" si="152"/>
        <v>0</v>
      </c>
      <c r="M230" s="241"/>
      <c r="N230" s="4"/>
      <c r="O230" s="78"/>
      <c r="P230" s="4"/>
    </row>
    <row r="231" spans="1:16" x14ac:dyDescent="0.3">
      <c r="A231" s="241"/>
      <c r="B231" s="254"/>
      <c r="C231" s="257"/>
      <c r="D231" s="287"/>
      <c r="E231" s="287"/>
      <c r="F231" s="4"/>
      <c r="G231" s="4"/>
      <c r="H231" s="4"/>
      <c r="I231" s="4"/>
      <c r="J231" s="4"/>
      <c r="K231" s="4"/>
      <c r="L231" s="20">
        <f t="shared" si="152"/>
        <v>0</v>
      </c>
      <c r="M231" s="241"/>
      <c r="N231" s="4"/>
      <c r="O231" s="71"/>
      <c r="P231" s="4"/>
    </row>
    <row r="232" spans="1:16" ht="15" thickBot="1" x14ac:dyDescent="0.35">
      <c r="A232" s="241"/>
      <c r="B232" s="254"/>
      <c r="C232" s="257"/>
      <c r="D232" s="287"/>
      <c r="E232" s="287"/>
      <c r="F232" s="6"/>
      <c r="G232" s="6"/>
      <c r="H232" s="6"/>
      <c r="I232" s="6"/>
      <c r="J232" s="6"/>
      <c r="K232" s="6"/>
      <c r="L232" s="20">
        <f t="shared" si="152"/>
        <v>0</v>
      </c>
      <c r="M232" s="242"/>
      <c r="N232" s="6"/>
      <c r="O232" s="87"/>
      <c r="P232" s="6"/>
    </row>
    <row r="233" spans="1:16" ht="15.6" thickTop="1" thickBot="1" x14ac:dyDescent="0.35">
      <c r="A233" s="242"/>
      <c r="B233" s="255"/>
      <c r="C233" s="258"/>
      <c r="D233" s="288"/>
      <c r="E233" s="288"/>
      <c r="F233" s="243"/>
      <c r="G233" s="244"/>
      <c r="H233" s="8">
        <f t="shared" ref="H233:K233" si="153">SUM(H228:H232)</f>
        <v>500</v>
      </c>
      <c r="I233" s="8">
        <f t="shared" si="153"/>
        <v>3000</v>
      </c>
      <c r="J233" s="8">
        <f t="shared" si="153"/>
        <v>3000</v>
      </c>
      <c r="K233" s="8">
        <f t="shared" si="153"/>
        <v>0</v>
      </c>
      <c r="L233" s="8">
        <f>SUM(L228:L232)</f>
        <v>6500</v>
      </c>
      <c r="M233" s="8"/>
      <c r="N233" s="8">
        <f>M228-L233</f>
        <v>8000</v>
      </c>
      <c r="O233" s="100"/>
      <c r="P233" s="8">
        <f>SUM(P228:P232)</f>
        <v>1500</v>
      </c>
    </row>
    <row r="234" spans="1:16" ht="15" thickTop="1" x14ac:dyDescent="0.3">
      <c r="A234" s="260">
        <f t="shared" ref="A234" si="154">A228+1</f>
        <v>39</v>
      </c>
      <c r="B234" s="279" t="s">
        <v>649</v>
      </c>
      <c r="C234" s="280" t="s">
        <v>608</v>
      </c>
      <c r="D234" s="264" t="s">
        <v>643</v>
      </c>
      <c r="E234" s="296" t="s">
        <v>650</v>
      </c>
      <c r="F234" s="39">
        <v>6853</v>
      </c>
      <c r="G234" s="47" t="s">
        <v>602</v>
      </c>
      <c r="H234" s="34">
        <v>500</v>
      </c>
      <c r="I234" s="34">
        <v>11000</v>
      </c>
      <c r="J234" s="34">
        <v>3000</v>
      </c>
      <c r="K234" s="34"/>
      <c r="L234" s="34">
        <f>SUM(H234:K234)</f>
        <v>14500</v>
      </c>
      <c r="M234" s="249">
        <v>14500</v>
      </c>
      <c r="N234" s="34"/>
      <c r="O234" s="94" t="s">
        <v>240</v>
      </c>
      <c r="P234" s="34">
        <v>1500</v>
      </c>
    </row>
    <row r="235" spans="1:16" x14ac:dyDescent="0.3">
      <c r="A235" s="249"/>
      <c r="B235" s="277"/>
      <c r="C235" s="267"/>
      <c r="D235" s="265"/>
      <c r="E235" s="265"/>
      <c r="F235" s="31"/>
      <c r="G235" s="36"/>
      <c r="H235" s="36"/>
      <c r="I235" s="36"/>
      <c r="J235" s="36"/>
      <c r="K235" s="36"/>
      <c r="L235" s="34">
        <f t="shared" ref="L235:L238" si="155">SUM(H235:K235)</f>
        <v>0</v>
      </c>
      <c r="M235" s="249"/>
      <c r="N235" s="36"/>
      <c r="O235" s="73"/>
      <c r="P235" s="36"/>
    </row>
    <row r="236" spans="1:16" x14ac:dyDescent="0.3">
      <c r="A236" s="249"/>
      <c r="B236" s="277"/>
      <c r="C236" s="267"/>
      <c r="D236" s="265"/>
      <c r="E236" s="265"/>
      <c r="F236" s="36"/>
      <c r="G236" s="36"/>
      <c r="H236" s="36"/>
      <c r="I236" s="36"/>
      <c r="J236" s="36"/>
      <c r="K236" s="36"/>
      <c r="L236" s="34">
        <f t="shared" si="155"/>
        <v>0</v>
      </c>
      <c r="M236" s="249"/>
      <c r="N236" s="36"/>
      <c r="O236" s="81"/>
      <c r="P236" s="36"/>
    </row>
    <row r="237" spans="1:16" x14ac:dyDescent="0.3">
      <c r="A237" s="249"/>
      <c r="B237" s="277"/>
      <c r="C237" s="267"/>
      <c r="D237" s="265"/>
      <c r="E237" s="265"/>
      <c r="F237" s="36"/>
      <c r="G237" s="36"/>
      <c r="H237" s="36"/>
      <c r="I237" s="36"/>
      <c r="J237" s="36"/>
      <c r="K237" s="36"/>
      <c r="L237" s="34">
        <f t="shared" si="155"/>
        <v>0</v>
      </c>
      <c r="M237" s="249"/>
      <c r="N237" s="36"/>
      <c r="O237" s="73"/>
      <c r="P237" s="36"/>
    </row>
    <row r="238" spans="1:16" ht="15" thickBot="1" x14ac:dyDescent="0.35">
      <c r="A238" s="249"/>
      <c r="B238" s="277"/>
      <c r="C238" s="267"/>
      <c r="D238" s="265"/>
      <c r="E238" s="265"/>
      <c r="F238" s="41"/>
      <c r="G238" s="41"/>
      <c r="H238" s="41"/>
      <c r="I238" s="41"/>
      <c r="J238" s="41"/>
      <c r="K238" s="41"/>
      <c r="L238" s="34">
        <f t="shared" si="155"/>
        <v>0</v>
      </c>
      <c r="M238" s="250"/>
      <c r="N238" s="41"/>
      <c r="O238" s="93"/>
      <c r="P238" s="41"/>
    </row>
    <row r="239" spans="1:16" ht="15.6" thickTop="1" thickBot="1" x14ac:dyDescent="0.35">
      <c r="A239" s="250"/>
      <c r="B239" s="278"/>
      <c r="C239" s="268"/>
      <c r="D239" s="266"/>
      <c r="E239" s="266"/>
      <c r="F239" s="251"/>
      <c r="G239" s="252"/>
      <c r="H239" s="14">
        <f t="shared" ref="H239:K239" si="156">SUM(H234:H238)</f>
        <v>500</v>
      </c>
      <c r="I239" s="14">
        <f t="shared" si="156"/>
        <v>11000</v>
      </c>
      <c r="J239" s="14">
        <f t="shared" si="156"/>
        <v>3000</v>
      </c>
      <c r="K239" s="14">
        <f t="shared" si="156"/>
        <v>0</v>
      </c>
      <c r="L239" s="14">
        <f>SUM(L234:L238)</f>
        <v>14500</v>
      </c>
      <c r="M239" s="14"/>
      <c r="N239" s="14">
        <f>M234-L239</f>
        <v>0</v>
      </c>
      <c r="O239" s="111"/>
      <c r="P239" s="14">
        <f>SUM(P234:P238)</f>
        <v>1500</v>
      </c>
    </row>
    <row r="240" spans="1:16" ht="15" thickTop="1" x14ac:dyDescent="0.3">
      <c r="A240" s="248">
        <f t="shared" ref="A240" si="157">A234+1</f>
        <v>40</v>
      </c>
      <c r="B240" s="283" t="s">
        <v>651</v>
      </c>
      <c r="C240" s="286" t="s">
        <v>350</v>
      </c>
      <c r="D240" s="256" t="s">
        <v>652</v>
      </c>
      <c r="E240" s="297" t="s">
        <v>653</v>
      </c>
      <c r="F240" s="3">
        <v>6859</v>
      </c>
      <c r="G240" s="29" t="s">
        <v>499</v>
      </c>
      <c r="H240" s="20">
        <v>500</v>
      </c>
      <c r="I240" s="20">
        <v>6500</v>
      </c>
      <c r="J240" s="20">
        <v>3000</v>
      </c>
      <c r="K240" s="20"/>
      <c r="L240" s="20">
        <f>SUM(H240:K240)</f>
        <v>10000</v>
      </c>
      <c r="M240" s="241">
        <v>14500</v>
      </c>
      <c r="N240" s="20"/>
      <c r="O240" s="86" t="s">
        <v>295</v>
      </c>
      <c r="P240" s="20"/>
    </row>
    <row r="241" spans="1:16" x14ac:dyDescent="0.3">
      <c r="A241" s="241"/>
      <c r="B241" s="284"/>
      <c r="C241" s="287"/>
      <c r="D241" s="257"/>
      <c r="E241" s="287"/>
      <c r="F241" s="16"/>
      <c r="G241" s="4"/>
      <c r="H241" s="4"/>
      <c r="I241" s="4"/>
      <c r="J241" s="4"/>
      <c r="K241" s="4"/>
      <c r="L241" s="20">
        <f t="shared" ref="L241:L244" si="158">SUM(H241:K241)</f>
        <v>0</v>
      </c>
      <c r="M241" s="241"/>
      <c r="N241" s="4"/>
      <c r="O241" s="71"/>
      <c r="P241" s="4"/>
    </row>
    <row r="242" spans="1:16" x14ac:dyDescent="0.3">
      <c r="A242" s="241"/>
      <c r="B242" s="284"/>
      <c r="C242" s="287"/>
      <c r="D242" s="257"/>
      <c r="E242" s="287"/>
      <c r="F242" s="4"/>
      <c r="G242" s="4"/>
      <c r="H242" s="4"/>
      <c r="I242" s="4"/>
      <c r="J242" s="4"/>
      <c r="K242" s="4"/>
      <c r="L242" s="20">
        <f t="shared" si="158"/>
        <v>0</v>
      </c>
      <c r="M242" s="241"/>
      <c r="N242" s="4"/>
      <c r="O242" s="78"/>
      <c r="P242" s="4"/>
    </row>
    <row r="243" spans="1:16" x14ac:dyDescent="0.3">
      <c r="A243" s="241"/>
      <c r="B243" s="284"/>
      <c r="C243" s="287"/>
      <c r="D243" s="257"/>
      <c r="E243" s="287"/>
      <c r="F243" s="4"/>
      <c r="G243" s="4"/>
      <c r="H243" s="4"/>
      <c r="I243" s="4"/>
      <c r="J243" s="4"/>
      <c r="K243" s="4"/>
      <c r="L243" s="20">
        <f t="shared" si="158"/>
        <v>0</v>
      </c>
      <c r="M243" s="241"/>
      <c r="N243" s="4"/>
      <c r="O243" s="71"/>
      <c r="P243" s="4"/>
    </row>
    <row r="244" spans="1:16" ht="15" thickBot="1" x14ac:dyDescent="0.35">
      <c r="A244" s="241"/>
      <c r="B244" s="284"/>
      <c r="C244" s="287"/>
      <c r="D244" s="257"/>
      <c r="E244" s="287"/>
      <c r="F244" s="6"/>
      <c r="G244" s="6"/>
      <c r="H244" s="6"/>
      <c r="I244" s="6"/>
      <c r="J244" s="6"/>
      <c r="K244" s="6"/>
      <c r="L244" s="20">
        <f t="shared" si="158"/>
        <v>0</v>
      </c>
      <c r="M244" s="242"/>
      <c r="N244" s="6"/>
      <c r="O244" s="87"/>
      <c r="P244" s="6"/>
    </row>
    <row r="245" spans="1:16" ht="15.6" thickTop="1" thickBot="1" x14ac:dyDescent="0.35">
      <c r="A245" s="242"/>
      <c r="B245" s="285"/>
      <c r="C245" s="288"/>
      <c r="D245" s="258"/>
      <c r="E245" s="288"/>
      <c r="F245" s="243"/>
      <c r="G245" s="244"/>
      <c r="H245" s="8">
        <f t="shared" ref="H245:K245" si="159">SUM(H240:H244)</f>
        <v>500</v>
      </c>
      <c r="I245" s="8">
        <f t="shared" si="159"/>
        <v>6500</v>
      </c>
      <c r="J245" s="8">
        <f t="shared" si="159"/>
        <v>3000</v>
      </c>
      <c r="K245" s="8">
        <f t="shared" si="159"/>
        <v>0</v>
      </c>
      <c r="L245" s="8">
        <f>SUM(L240:L244)</f>
        <v>10000</v>
      </c>
      <c r="M245" s="8"/>
      <c r="N245" s="8">
        <f>M240-L245</f>
        <v>4500</v>
      </c>
      <c r="O245" s="100"/>
      <c r="P245" s="8">
        <f>SUM(P240:P244)</f>
        <v>0</v>
      </c>
    </row>
    <row r="246" spans="1:16" ht="15" thickTop="1" x14ac:dyDescent="0.3">
      <c r="A246" s="248">
        <f t="shared" ref="A246" si="160">A240+1</f>
        <v>41</v>
      </c>
      <c r="B246" s="283" t="s">
        <v>654</v>
      </c>
      <c r="C246" s="286" t="s">
        <v>136</v>
      </c>
      <c r="D246" s="257" t="s">
        <v>426</v>
      </c>
      <c r="E246" s="297" t="s">
        <v>655</v>
      </c>
      <c r="F246" s="3">
        <v>6860</v>
      </c>
      <c r="G246" s="29" t="s">
        <v>505</v>
      </c>
      <c r="H246" s="20">
        <v>500</v>
      </c>
      <c r="I246" s="20">
        <v>4500</v>
      </c>
      <c r="J246" s="20">
        <v>3000</v>
      </c>
      <c r="K246" s="20"/>
      <c r="L246" s="20">
        <f>SUM(H246:K246)</f>
        <v>8000</v>
      </c>
      <c r="M246" s="241">
        <v>14500</v>
      </c>
      <c r="N246" s="20"/>
      <c r="O246" s="86" t="s">
        <v>295</v>
      </c>
      <c r="P246" s="20"/>
    </row>
    <row r="247" spans="1:16" x14ac:dyDescent="0.3">
      <c r="A247" s="241"/>
      <c r="B247" s="284"/>
      <c r="C247" s="287"/>
      <c r="D247" s="257"/>
      <c r="E247" s="287"/>
      <c r="F247" s="16"/>
      <c r="G247" s="4"/>
      <c r="H247" s="4"/>
      <c r="I247" s="4"/>
      <c r="J247" s="4"/>
      <c r="K247" s="4"/>
      <c r="L247" s="20">
        <f t="shared" ref="L247:L250" si="161">SUM(H247:K247)</f>
        <v>0</v>
      </c>
      <c r="M247" s="241"/>
      <c r="N247" s="4"/>
      <c r="O247" s="71"/>
      <c r="P247" s="4"/>
    </row>
    <row r="248" spans="1:16" x14ac:dyDescent="0.3">
      <c r="A248" s="241"/>
      <c r="B248" s="284"/>
      <c r="C248" s="287"/>
      <c r="D248" s="257"/>
      <c r="E248" s="287"/>
      <c r="F248" s="4"/>
      <c r="G248" s="4"/>
      <c r="H248" s="4"/>
      <c r="I248" s="4"/>
      <c r="J248" s="4"/>
      <c r="K248" s="4"/>
      <c r="L248" s="20">
        <f t="shared" si="161"/>
        <v>0</v>
      </c>
      <c r="M248" s="241"/>
      <c r="N248" s="4"/>
      <c r="O248" s="78"/>
      <c r="P248" s="4"/>
    </row>
    <row r="249" spans="1:16" x14ac:dyDescent="0.3">
      <c r="A249" s="241"/>
      <c r="B249" s="284"/>
      <c r="C249" s="287"/>
      <c r="D249" s="257"/>
      <c r="E249" s="287"/>
      <c r="F249" s="4"/>
      <c r="G249" s="4"/>
      <c r="H249" s="4"/>
      <c r="I249" s="4"/>
      <c r="J249" s="4"/>
      <c r="K249" s="4"/>
      <c r="L249" s="20">
        <f t="shared" si="161"/>
        <v>0</v>
      </c>
      <c r="M249" s="241"/>
      <c r="N249" s="4"/>
      <c r="O249" s="71"/>
      <c r="P249" s="4"/>
    </row>
    <row r="250" spans="1:16" ht="15" thickBot="1" x14ac:dyDescent="0.35">
      <c r="A250" s="241"/>
      <c r="B250" s="284"/>
      <c r="C250" s="287"/>
      <c r="D250" s="257"/>
      <c r="E250" s="287"/>
      <c r="F250" s="6"/>
      <c r="G250" s="6"/>
      <c r="H250" s="6"/>
      <c r="I250" s="6"/>
      <c r="J250" s="6"/>
      <c r="K250" s="6"/>
      <c r="L250" s="20">
        <f t="shared" si="161"/>
        <v>0</v>
      </c>
      <c r="M250" s="242"/>
      <c r="N250" s="6"/>
      <c r="O250" s="87"/>
      <c r="P250" s="6"/>
    </row>
    <row r="251" spans="1:16" ht="15.6" thickTop="1" thickBot="1" x14ac:dyDescent="0.35">
      <c r="A251" s="242"/>
      <c r="B251" s="285"/>
      <c r="C251" s="288"/>
      <c r="D251" s="258"/>
      <c r="E251" s="288"/>
      <c r="F251" s="243"/>
      <c r="G251" s="244"/>
      <c r="H251" s="8">
        <f t="shared" ref="H251:K251" si="162">SUM(H246:H250)</f>
        <v>500</v>
      </c>
      <c r="I251" s="8">
        <f t="shared" si="162"/>
        <v>4500</v>
      </c>
      <c r="J251" s="8">
        <f t="shared" si="162"/>
        <v>3000</v>
      </c>
      <c r="K251" s="8">
        <f t="shared" si="162"/>
        <v>0</v>
      </c>
      <c r="L251" s="8">
        <f>SUM(L246:L250)</f>
        <v>8000</v>
      </c>
      <c r="M251" s="8"/>
      <c r="N251" s="8">
        <f>M246-L251</f>
        <v>6500</v>
      </c>
      <c r="O251" s="100"/>
      <c r="P251" s="8">
        <f>SUM(P246:P250)</f>
        <v>0</v>
      </c>
    </row>
    <row r="252" spans="1:16" ht="15" thickTop="1" x14ac:dyDescent="0.3">
      <c r="A252" s="248">
        <f t="shared" ref="A252" si="163">A246+1</f>
        <v>42</v>
      </c>
      <c r="B252" s="253" t="s">
        <v>656</v>
      </c>
      <c r="C252" s="257" t="s">
        <v>277</v>
      </c>
      <c r="D252" s="257" t="s">
        <v>426</v>
      </c>
      <c r="E252" s="292" t="s">
        <v>416</v>
      </c>
      <c r="F252" s="3">
        <v>6863</v>
      </c>
      <c r="G252" s="29" t="s">
        <v>505</v>
      </c>
      <c r="H252" s="20">
        <v>500</v>
      </c>
      <c r="I252" s="20">
        <v>3000</v>
      </c>
      <c r="J252" s="20">
        <v>3000</v>
      </c>
      <c r="K252" s="20"/>
      <c r="L252" s="20">
        <f>SUM(H252:K252)</f>
        <v>6500</v>
      </c>
      <c r="M252" s="241">
        <v>14500</v>
      </c>
      <c r="N252" s="20"/>
      <c r="O252" s="86" t="s">
        <v>295</v>
      </c>
      <c r="P252" s="20"/>
    </row>
    <row r="253" spans="1:16" x14ac:dyDescent="0.3">
      <c r="A253" s="241"/>
      <c r="B253" s="254"/>
      <c r="C253" s="257"/>
      <c r="D253" s="257"/>
      <c r="E253" s="287"/>
      <c r="F253" s="16">
        <v>6995</v>
      </c>
      <c r="G253" s="4" t="s">
        <v>795</v>
      </c>
      <c r="H253" s="4"/>
      <c r="I253" s="4">
        <v>5000</v>
      </c>
      <c r="J253" s="4"/>
      <c r="K253" s="4"/>
      <c r="L253" s="20">
        <f t="shared" ref="L253:L256" si="164">SUM(H253:K253)</f>
        <v>5000</v>
      </c>
      <c r="M253" s="241"/>
      <c r="N253" s="4"/>
      <c r="O253" s="71"/>
      <c r="P253" s="4"/>
    </row>
    <row r="254" spans="1:16" x14ac:dyDescent="0.3">
      <c r="A254" s="241"/>
      <c r="B254" s="254"/>
      <c r="C254" s="257"/>
      <c r="D254" s="257"/>
      <c r="E254" s="287"/>
      <c r="F254" s="4"/>
      <c r="G254" s="4"/>
      <c r="H254" s="4"/>
      <c r="I254" s="4"/>
      <c r="J254" s="4"/>
      <c r="K254" s="4"/>
      <c r="L254" s="20">
        <f t="shared" si="164"/>
        <v>0</v>
      </c>
      <c r="M254" s="241"/>
      <c r="N254" s="4"/>
      <c r="O254" s="78"/>
      <c r="P254" s="4"/>
    </row>
    <row r="255" spans="1:16" x14ac:dyDescent="0.3">
      <c r="A255" s="241"/>
      <c r="B255" s="254"/>
      <c r="C255" s="257"/>
      <c r="D255" s="257"/>
      <c r="E255" s="287"/>
      <c r="F255" s="4"/>
      <c r="G255" s="4"/>
      <c r="H255" s="4"/>
      <c r="I255" s="4"/>
      <c r="J255" s="4"/>
      <c r="K255" s="4"/>
      <c r="L255" s="20">
        <f t="shared" si="164"/>
        <v>0</v>
      </c>
      <c r="M255" s="241"/>
      <c r="N255" s="4"/>
      <c r="O255" s="71"/>
      <c r="P255" s="4"/>
    </row>
    <row r="256" spans="1:16" ht="15" thickBot="1" x14ac:dyDescent="0.35">
      <c r="A256" s="241"/>
      <c r="B256" s="254"/>
      <c r="C256" s="257"/>
      <c r="D256" s="257"/>
      <c r="E256" s="287"/>
      <c r="F256" s="6"/>
      <c r="G256" s="6"/>
      <c r="H256" s="6"/>
      <c r="I256" s="6"/>
      <c r="J256" s="6"/>
      <c r="K256" s="6"/>
      <c r="L256" s="20">
        <f t="shared" si="164"/>
        <v>0</v>
      </c>
      <c r="M256" s="242"/>
      <c r="N256" s="6"/>
      <c r="O256" s="87"/>
      <c r="P256" s="6"/>
    </row>
    <row r="257" spans="1:16" ht="15.6" thickTop="1" thickBot="1" x14ac:dyDescent="0.35">
      <c r="A257" s="242"/>
      <c r="B257" s="255"/>
      <c r="C257" s="258"/>
      <c r="D257" s="258"/>
      <c r="E257" s="288"/>
      <c r="F257" s="243"/>
      <c r="G257" s="244"/>
      <c r="H257" s="8">
        <f t="shared" ref="H257:K257" si="165">SUM(H252:H256)</f>
        <v>500</v>
      </c>
      <c r="I257" s="8">
        <f t="shared" si="165"/>
        <v>8000</v>
      </c>
      <c r="J257" s="8">
        <f t="shared" si="165"/>
        <v>3000</v>
      </c>
      <c r="K257" s="8">
        <f t="shared" si="165"/>
        <v>0</v>
      </c>
      <c r="L257" s="8">
        <f>SUM(L252:L256)</f>
        <v>11500</v>
      </c>
      <c r="M257" s="8"/>
      <c r="N257" s="8">
        <f>M252-L257</f>
        <v>3000</v>
      </c>
      <c r="O257" s="100"/>
      <c r="P257" s="8">
        <f>SUM(P252:P256)</f>
        <v>0</v>
      </c>
    </row>
    <row r="258" spans="1:16" ht="15" thickTop="1" x14ac:dyDescent="0.3">
      <c r="A258" s="248">
        <f t="shared" ref="A258" si="166">A252+1</f>
        <v>43</v>
      </c>
      <c r="B258" s="261" t="s">
        <v>657</v>
      </c>
      <c r="C258" s="264" t="s">
        <v>136</v>
      </c>
      <c r="D258" s="280" t="s">
        <v>624</v>
      </c>
      <c r="E258" s="296" t="s">
        <v>323</v>
      </c>
      <c r="F258" s="39">
        <v>6868</v>
      </c>
      <c r="G258" s="47" t="s">
        <v>588</v>
      </c>
      <c r="H258" s="34">
        <v>500</v>
      </c>
      <c r="I258" s="34">
        <v>4500</v>
      </c>
      <c r="J258" s="34">
        <v>3000</v>
      </c>
      <c r="K258" s="34"/>
      <c r="L258" s="34">
        <f>SUM(H258:K258)</f>
        <v>8000</v>
      </c>
      <c r="M258" s="249">
        <v>14500</v>
      </c>
      <c r="N258" s="34"/>
      <c r="O258" s="94" t="s">
        <v>295</v>
      </c>
      <c r="P258" s="34"/>
    </row>
    <row r="259" spans="1:16" x14ac:dyDescent="0.3">
      <c r="A259" s="241"/>
      <c r="B259" s="262"/>
      <c r="C259" s="265"/>
      <c r="D259" s="267"/>
      <c r="E259" s="265"/>
      <c r="F259" s="31">
        <v>6970</v>
      </c>
      <c r="G259" s="36" t="s">
        <v>658</v>
      </c>
      <c r="H259" s="36"/>
      <c r="I259" s="36">
        <v>6500</v>
      </c>
      <c r="J259" s="36"/>
      <c r="K259" s="36"/>
      <c r="L259" s="34">
        <f t="shared" ref="L259:L262" si="167">SUM(H259:K259)</f>
        <v>6500</v>
      </c>
      <c r="M259" s="249"/>
      <c r="N259" s="36"/>
      <c r="O259" s="73"/>
      <c r="P259" s="36"/>
    </row>
    <row r="260" spans="1:16" x14ac:dyDescent="0.3">
      <c r="A260" s="241"/>
      <c r="B260" s="262"/>
      <c r="C260" s="265"/>
      <c r="D260" s="267"/>
      <c r="E260" s="265"/>
      <c r="F260" s="36"/>
      <c r="G260" s="36"/>
      <c r="H260" s="36"/>
      <c r="I260" s="36"/>
      <c r="J260" s="36"/>
      <c r="K260" s="36"/>
      <c r="L260" s="34">
        <f t="shared" si="167"/>
        <v>0</v>
      </c>
      <c r="M260" s="249"/>
      <c r="N260" s="36"/>
      <c r="O260" s="81"/>
      <c r="P260" s="36"/>
    </row>
    <row r="261" spans="1:16" x14ac:dyDescent="0.3">
      <c r="A261" s="241"/>
      <c r="B261" s="262"/>
      <c r="C261" s="265"/>
      <c r="D261" s="267"/>
      <c r="E261" s="265"/>
      <c r="F261" s="36"/>
      <c r="G261" s="36"/>
      <c r="H261" s="36"/>
      <c r="I261" s="36"/>
      <c r="J261" s="36"/>
      <c r="K261" s="36"/>
      <c r="L261" s="34">
        <f t="shared" si="167"/>
        <v>0</v>
      </c>
      <c r="M261" s="249"/>
      <c r="N261" s="36"/>
      <c r="O261" s="73"/>
      <c r="P261" s="36"/>
    </row>
    <row r="262" spans="1:16" ht="15" thickBot="1" x14ac:dyDescent="0.35">
      <c r="A262" s="241"/>
      <c r="B262" s="262"/>
      <c r="C262" s="265"/>
      <c r="D262" s="267"/>
      <c r="E262" s="265"/>
      <c r="F262" s="41"/>
      <c r="G262" s="41"/>
      <c r="H262" s="41"/>
      <c r="I262" s="41"/>
      <c r="J262" s="41"/>
      <c r="K262" s="41"/>
      <c r="L262" s="34">
        <f t="shared" si="167"/>
        <v>0</v>
      </c>
      <c r="M262" s="250"/>
      <c r="N262" s="41"/>
      <c r="O262" s="93"/>
      <c r="P262" s="41"/>
    </row>
    <row r="263" spans="1:16" ht="15.6" thickTop="1" thickBot="1" x14ac:dyDescent="0.35">
      <c r="A263" s="242"/>
      <c r="B263" s="263"/>
      <c r="C263" s="266"/>
      <c r="D263" s="268"/>
      <c r="E263" s="266"/>
      <c r="F263" s="251"/>
      <c r="G263" s="252"/>
      <c r="H263" s="14">
        <f t="shared" ref="H263:K263" si="168">SUM(H258:H262)</f>
        <v>500</v>
      </c>
      <c r="I263" s="14">
        <f t="shared" si="168"/>
        <v>11000</v>
      </c>
      <c r="J263" s="14">
        <f t="shared" si="168"/>
        <v>3000</v>
      </c>
      <c r="K263" s="14">
        <f t="shared" si="168"/>
        <v>0</v>
      </c>
      <c r="L263" s="14">
        <f>SUM(L258:L262)</f>
        <v>14500</v>
      </c>
      <c r="M263" s="14"/>
      <c r="N263" s="14">
        <f>M258-L263</f>
        <v>0</v>
      </c>
      <c r="O263" s="111"/>
      <c r="P263" s="14">
        <f>SUM(P258:P262)</f>
        <v>0</v>
      </c>
    </row>
    <row r="264" spans="1:16" ht="15" thickTop="1" x14ac:dyDescent="0.3">
      <c r="A264" s="260">
        <f t="shared" ref="A264" si="169">A258+1</f>
        <v>44</v>
      </c>
      <c r="B264" s="261" t="s">
        <v>659</v>
      </c>
      <c r="C264" s="264" t="s">
        <v>136</v>
      </c>
      <c r="D264" s="280" t="s">
        <v>624</v>
      </c>
      <c r="E264" s="296" t="s">
        <v>323</v>
      </c>
      <c r="F264" s="39">
        <v>6870</v>
      </c>
      <c r="G264" s="47" t="s">
        <v>588</v>
      </c>
      <c r="H264" s="34">
        <v>500</v>
      </c>
      <c r="I264" s="34">
        <v>3500</v>
      </c>
      <c r="J264" s="34">
        <v>3000</v>
      </c>
      <c r="K264" s="34"/>
      <c r="L264" s="34">
        <f>SUM(H264:K264)</f>
        <v>7000</v>
      </c>
      <c r="M264" s="249">
        <v>14500</v>
      </c>
      <c r="N264" s="34"/>
      <c r="O264" s="94" t="s">
        <v>295</v>
      </c>
      <c r="P264" s="34"/>
    </row>
    <row r="265" spans="1:16" x14ac:dyDescent="0.3">
      <c r="A265" s="249"/>
      <c r="B265" s="262"/>
      <c r="C265" s="265"/>
      <c r="D265" s="267"/>
      <c r="E265" s="265"/>
      <c r="F265" s="31">
        <v>6971</v>
      </c>
      <c r="G265" s="36" t="s">
        <v>631</v>
      </c>
      <c r="H265" s="36"/>
      <c r="I265" s="36">
        <v>7500</v>
      </c>
      <c r="J265" s="36"/>
      <c r="K265" s="36"/>
      <c r="L265" s="34">
        <f t="shared" ref="L265:L268" si="170">SUM(H265:K265)</f>
        <v>7500</v>
      </c>
      <c r="M265" s="249"/>
      <c r="N265" s="36"/>
      <c r="O265" s="73"/>
      <c r="P265" s="36"/>
    </row>
    <row r="266" spans="1:16" x14ac:dyDescent="0.3">
      <c r="A266" s="249"/>
      <c r="B266" s="262"/>
      <c r="C266" s="265"/>
      <c r="D266" s="267"/>
      <c r="E266" s="265"/>
      <c r="F266" s="36"/>
      <c r="G266" s="36"/>
      <c r="H266" s="36"/>
      <c r="I266" s="36"/>
      <c r="J266" s="36"/>
      <c r="K266" s="36"/>
      <c r="L266" s="34">
        <f t="shared" si="170"/>
        <v>0</v>
      </c>
      <c r="M266" s="249"/>
      <c r="N266" s="36"/>
      <c r="O266" s="81"/>
      <c r="P266" s="36"/>
    </row>
    <row r="267" spans="1:16" x14ac:dyDescent="0.3">
      <c r="A267" s="249"/>
      <c r="B267" s="262"/>
      <c r="C267" s="265"/>
      <c r="D267" s="267"/>
      <c r="E267" s="265"/>
      <c r="F267" s="36"/>
      <c r="G267" s="36"/>
      <c r="H267" s="36"/>
      <c r="I267" s="36"/>
      <c r="J267" s="36"/>
      <c r="K267" s="36"/>
      <c r="L267" s="34">
        <f t="shared" si="170"/>
        <v>0</v>
      </c>
      <c r="M267" s="249"/>
      <c r="N267" s="36"/>
      <c r="O267" s="73"/>
      <c r="P267" s="36"/>
    </row>
    <row r="268" spans="1:16" ht="15" thickBot="1" x14ac:dyDescent="0.35">
      <c r="A268" s="249"/>
      <c r="B268" s="262"/>
      <c r="C268" s="265"/>
      <c r="D268" s="267"/>
      <c r="E268" s="265"/>
      <c r="F268" s="41"/>
      <c r="G268" s="41"/>
      <c r="H268" s="41"/>
      <c r="I268" s="41"/>
      <c r="J268" s="41"/>
      <c r="K268" s="41"/>
      <c r="L268" s="34">
        <f t="shared" si="170"/>
        <v>0</v>
      </c>
      <c r="M268" s="250"/>
      <c r="N268" s="41"/>
      <c r="O268" s="93"/>
      <c r="P268" s="41"/>
    </row>
    <row r="269" spans="1:16" ht="15.6" thickTop="1" thickBot="1" x14ac:dyDescent="0.35">
      <c r="A269" s="250"/>
      <c r="B269" s="263"/>
      <c r="C269" s="266"/>
      <c r="D269" s="268"/>
      <c r="E269" s="266"/>
      <c r="F269" s="251"/>
      <c r="G269" s="252"/>
      <c r="H269" s="14">
        <f t="shared" ref="H269:K269" si="171">SUM(H264:H268)</f>
        <v>500</v>
      </c>
      <c r="I269" s="14">
        <f t="shared" si="171"/>
        <v>11000</v>
      </c>
      <c r="J269" s="14">
        <f t="shared" si="171"/>
        <v>3000</v>
      </c>
      <c r="K269" s="14">
        <f t="shared" si="171"/>
        <v>0</v>
      </c>
      <c r="L269" s="14">
        <f>SUM(L264:L268)</f>
        <v>14500</v>
      </c>
      <c r="M269" s="14"/>
      <c r="N269" s="14">
        <f>M264-L269</f>
        <v>0</v>
      </c>
      <c r="O269" s="111"/>
      <c r="P269" s="14">
        <f>SUM(P264:P268)</f>
        <v>0</v>
      </c>
    </row>
    <row r="270" spans="1:16" ht="15" thickTop="1" x14ac:dyDescent="0.3">
      <c r="A270" s="248">
        <f t="shared" ref="A270" si="172">A264+1</f>
        <v>45</v>
      </c>
      <c r="B270" s="253" t="s">
        <v>660</v>
      </c>
      <c r="C270" s="256" t="s">
        <v>636</v>
      </c>
      <c r="D270" s="257" t="s">
        <v>661</v>
      </c>
      <c r="E270" s="259" t="s">
        <v>299</v>
      </c>
      <c r="F270" s="3">
        <v>6871</v>
      </c>
      <c r="G270" s="29" t="s">
        <v>662</v>
      </c>
      <c r="H270" s="20">
        <v>500</v>
      </c>
      <c r="I270" s="20">
        <v>6500</v>
      </c>
      <c r="J270" s="20">
        <v>3000</v>
      </c>
      <c r="K270" s="20"/>
      <c r="L270" s="20">
        <f>SUM(H270:K270)</f>
        <v>10000</v>
      </c>
      <c r="M270" s="241">
        <v>14500</v>
      </c>
      <c r="N270" s="20"/>
      <c r="O270" s="86" t="s">
        <v>295</v>
      </c>
      <c r="P270" s="20"/>
    </row>
    <row r="271" spans="1:16" x14ac:dyDescent="0.3">
      <c r="A271" s="241"/>
      <c r="B271" s="254"/>
      <c r="C271" s="257"/>
      <c r="D271" s="257"/>
      <c r="E271" s="257"/>
      <c r="F271" s="16"/>
      <c r="G271" s="4"/>
      <c r="H271" s="4"/>
      <c r="I271" s="4"/>
      <c r="J271" s="4"/>
      <c r="K271" s="4"/>
      <c r="L271" s="20">
        <f t="shared" ref="L271:L274" si="173">SUM(H271:K271)</f>
        <v>0</v>
      </c>
      <c r="M271" s="241"/>
      <c r="N271" s="4"/>
      <c r="O271" s="71" t="s">
        <v>240</v>
      </c>
      <c r="P271" s="4"/>
    </row>
    <row r="272" spans="1:16" x14ac:dyDescent="0.3">
      <c r="A272" s="241"/>
      <c r="B272" s="254"/>
      <c r="C272" s="257"/>
      <c r="D272" s="257"/>
      <c r="E272" s="257"/>
      <c r="F272" s="4"/>
      <c r="G272" s="4"/>
      <c r="H272" s="4"/>
      <c r="I272" s="4"/>
      <c r="J272" s="4"/>
      <c r="K272" s="4"/>
      <c r="L272" s="20">
        <f t="shared" si="173"/>
        <v>0</v>
      </c>
      <c r="M272" s="241"/>
      <c r="N272" s="4"/>
      <c r="O272" s="78"/>
      <c r="P272" s="4"/>
    </row>
    <row r="273" spans="1:16" x14ac:dyDescent="0.3">
      <c r="A273" s="241"/>
      <c r="B273" s="254"/>
      <c r="C273" s="257"/>
      <c r="D273" s="257"/>
      <c r="E273" s="257"/>
      <c r="F273" s="4"/>
      <c r="G273" s="4"/>
      <c r="H273" s="4"/>
      <c r="I273" s="4"/>
      <c r="J273" s="4"/>
      <c r="K273" s="4"/>
      <c r="L273" s="20">
        <f t="shared" si="173"/>
        <v>0</v>
      </c>
      <c r="M273" s="241"/>
      <c r="N273" s="4"/>
      <c r="O273" s="71"/>
      <c r="P273" s="4"/>
    </row>
    <row r="274" spans="1:16" ht="15" thickBot="1" x14ac:dyDescent="0.35">
      <c r="A274" s="241"/>
      <c r="B274" s="254"/>
      <c r="C274" s="257"/>
      <c r="D274" s="257"/>
      <c r="E274" s="257"/>
      <c r="F274" s="6"/>
      <c r="G274" s="6"/>
      <c r="H274" s="6"/>
      <c r="I274" s="6"/>
      <c r="J274" s="6"/>
      <c r="K274" s="6"/>
      <c r="L274" s="20">
        <f t="shared" si="173"/>
        <v>0</v>
      </c>
      <c r="M274" s="242"/>
      <c r="N274" s="6"/>
      <c r="O274" s="87"/>
      <c r="P274" s="6"/>
    </row>
    <row r="275" spans="1:16" ht="15.6" thickTop="1" thickBot="1" x14ac:dyDescent="0.35">
      <c r="A275" s="242"/>
      <c r="B275" s="255"/>
      <c r="C275" s="258"/>
      <c r="D275" s="258"/>
      <c r="E275" s="258"/>
      <c r="F275" s="243"/>
      <c r="G275" s="244"/>
      <c r="H275" s="8">
        <f t="shared" ref="H275:K275" si="174">SUM(H270:H274)</f>
        <v>500</v>
      </c>
      <c r="I275" s="8">
        <f t="shared" si="174"/>
        <v>6500</v>
      </c>
      <c r="J275" s="8">
        <f t="shared" si="174"/>
        <v>3000</v>
      </c>
      <c r="K275" s="8">
        <f t="shared" si="174"/>
        <v>0</v>
      </c>
      <c r="L275" s="8">
        <f>SUM(L270:L274)</f>
        <v>10000</v>
      </c>
      <c r="M275" s="8"/>
      <c r="N275" s="8">
        <f>M270-L275</f>
        <v>4500</v>
      </c>
      <c r="O275" s="100"/>
      <c r="P275" s="8">
        <f>SUM(P270:P274)</f>
        <v>0</v>
      </c>
    </row>
    <row r="276" spans="1:16" ht="15" thickTop="1" x14ac:dyDescent="0.3">
      <c r="A276" s="248">
        <f t="shared" ref="A276" si="175">A270+1</f>
        <v>46</v>
      </c>
      <c r="B276" s="253" t="s">
        <v>664</v>
      </c>
      <c r="C276" s="256" t="s">
        <v>488</v>
      </c>
      <c r="D276" s="286" t="s">
        <v>618</v>
      </c>
      <c r="E276" s="292" t="s">
        <v>663</v>
      </c>
      <c r="F276" s="3">
        <v>6872</v>
      </c>
      <c r="G276" s="29" t="s">
        <v>605</v>
      </c>
      <c r="H276" s="20">
        <v>500</v>
      </c>
      <c r="I276" s="20">
        <v>3000</v>
      </c>
      <c r="J276" s="20"/>
      <c r="K276" s="20"/>
      <c r="L276" s="20">
        <f>SUM(H276:K276)</f>
        <v>3500</v>
      </c>
      <c r="M276" s="241">
        <v>14500</v>
      </c>
      <c r="N276" s="20"/>
      <c r="O276" s="86"/>
      <c r="P276" s="20">
        <v>1500</v>
      </c>
    </row>
    <row r="277" spans="1:16" x14ac:dyDescent="0.3">
      <c r="A277" s="241"/>
      <c r="B277" s="254"/>
      <c r="C277" s="257"/>
      <c r="D277" s="287"/>
      <c r="E277" s="287"/>
      <c r="F277" s="16"/>
      <c r="G277" s="4"/>
      <c r="H277" s="4"/>
      <c r="I277" s="4"/>
      <c r="J277" s="4"/>
      <c r="K277" s="4"/>
      <c r="L277" s="20">
        <f t="shared" ref="L277:L280" si="176">SUM(H277:K277)</f>
        <v>0</v>
      </c>
      <c r="M277" s="241"/>
      <c r="N277" s="4"/>
      <c r="O277" s="71"/>
      <c r="P277" s="4"/>
    </row>
    <row r="278" spans="1:16" x14ac:dyDescent="0.3">
      <c r="A278" s="241"/>
      <c r="B278" s="254"/>
      <c r="C278" s="257"/>
      <c r="D278" s="287"/>
      <c r="E278" s="287"/>
      <c r="F278" s="4"/>
      <c r="G278" s="4"/>
      <c r="H278" s="4"/>
      <c r="I278" s="4"/>
      <c r="J278" s="4"/>
      <c r="K278" s="4"/>
      <c r="L278" s="20">
        <f t="shared" si="176"/>
        <v>0</v>
      </c>
      <c r="M278" s="241"/>
      <c r="N278" s="4"/>
      <c r="O278" s="78"/>
      <c r="P278" s="4"/>
    </row>
    <row r="279" spans="1:16" x14ac:dyDescent="0.3">
      <c r="A279" s="241"/>
      <c r="B279" s="254"/>
      <c r="C279" s="257"/>
      <c r="D279" s="287"/>
      <c r="E279" s="287"/>
      <c r="F279" s="4"/>
      <c r="G279" s="4"/>
      <c r="H279" s="4"/>
      <c r="I279" s="4"/>
      <c r="J279" s="4"/>
      <c r="K279" s="4"/>
      <c r="L279" s="20">
        <f t="shared" si="176"/>
        <v>0</v>
      </c>
      <c r="M279" s="241"/>
      <c r="N279" s="4"/>
      <c r="O279" s="71"/>
      <c r="P279" s="4"/>
    </row>
    <row r="280" spans="1:16" ht="15" thickBot="1" x14ac:dyDescent="0.35">
      <c r="A280" s="241"/>
      <c r="B280" s="254"/>
      <c r="C280" s="257"/>
      <c r="D280" s="287"/>
      <c r="E280" s="287"/>
      <c r="F280" s="6"/>
      <c r="G280" s="6"/>
      <c r="H280" s="6"/>
      <c r="I280" s="6"/>
      <c r="J280" s="6"/>
      <c r="K280" s="6"/>
      <c r="L280" s="20">
        <f t="shared" si="176"/>
        <v>0</v>
      </c>
      <c r="M280" s="242"/>
      <c r="N280" s="6"/>
      <c r="O280" s="87"/>
      <c r="P280" s="6"/>
    </row>
    <row r="281" spans="1:16" ht="15.6" thickTop="1" thickBot="1" x14ac:dyDescent="0.35">
      <c r="A281" s="242"/>
      <c r="B281" s="255"/>
      <c r="C281" s="258"/>
      <c r="D281" s="288"/>
      <c r="E281" s="288"/>
      <c r="F281" s="243"/>
      <c r="G281" s="244"/>
      <c r="H281" s="8">
        <f t="shared" ref="H281:K281" si="177">SUM(H276:H280)</f>
        <v>500</v>
      </c>
      <c r="I281" s="8">
        <f t="shared" si="177"/>
        <v>3000</v>
      </c>
      <c r="J281" s="8">
        <f t="shared" si="177"/>
        <v>0</v>
      </c>
      <c r="K281" s="8">
        <f t="shared" si="177"/>
        <v>0</v>
      </c>
      <c r="L281" s="8">
        <f>SUM(L276:L280)</f>
        <v>3500</v>
      </c>
      <c r="M281" s="8"/>
      <c r="N281" s="8">
        <f>M276-L281</f>
        <v>11000</v>
      </c>
      <c r="O281" s="100"/>
      <c r="P281" s="8">
        <f>SUM(P276:P280)</f>
        <v>1500</v>
      </c>
    </row>
    <row r="282" spans="1:16" ht="15" thickTop="1" x14ac:dyDescent="0.3">
      <c r="A282" s="248">
        <f t="shared" ref="A282" si="178">A276+1</f>
        <v>47</v>
      </c>
      <c r="B282" s="253" t="s">
        <v>665</v>
      </c>
      <c r="C282" s="256" t="s">
        <v>80</v>
      </c>
      <c r="D282" s="286" t="s">
        <v>666</v>
      </c>
      <c r="E282" s="292" t="s">
        <v>469</v>
      </c>
      <c r="F282" s="3">
        <v>6873</v>
      </c>
      <c r="G282" s="29" t="s">
        <v>605</v>
      </c>
      <c r="H282" s="3">
        <v>500</v>
      </c>
      <c r="I282" s="3">
        <v>2500</v>
      </c>
      <c r="J282" s="3">
        <v>3000</v>
      </c>
      <c r="K282" s="3"/>
      <c r="L282" s="20">
        <f>SUM(H282:K282)</f>
        <v>6000</v>
      </c>
      <c r="M282" s="241">
        <v>14500</v>
      </c>
      <c r="N282" s="4"/>
      <c r="O282" s="86" t="s">
        <v>295</v>
      </c>
      <c r="P282" s="3"/>
    </row>
    <row r="283" spans="1:16" x14ac:dyDescent="0.3">
      <c r="A283" s="241"/>
      <c r="B283" s="254"/>
      <c r="C283" s="257"/>
      <c r="D283" s="287"/>
      <c r="E283" s="287"/>
      <c r="F283" s="16"/>
      <c r="G283" s="4"/>
      <c r="H283" s="4"/>
      <c r="I283" s="4"/>
      <c r="J283" s="4"/>
      <c r="K283" s="4"/>
      <c r="L283" s="20">
        <f t="shared" ref="L283:L286" si="179">SUM(H283:K283)</f>
        <v>0</v>
      </c>
      <c r="M283" s="241"/>
      <c r="N283" s="4"/>
      <c r="O283" s="71"/>
      <c r="P283" s="4"/>
    </row>
    <row r="284" spans="1:16" x14ac:dyDescent="0.3">
      <c r="A284" s="241"/>
      <c r="B284" s="254"/>
      <c r="C284" s="257"/>
      <c r="D284" s="287"/>
      <c r="E284" s="287"/>
      <c r="F284" s="4"/>
      <c r="G284" s="4"/>
      <c r="H284" s="4"/>
      <c r="I284" s="4"/>
      <c r="J284" s="4"/>
      <c r="K284" s="4"/>
      <c r="L284" s="20">
        <f t="shared" si="179"/>
        <v>0</v>
      </c>
      <c r="M284" s="241"/>
      <c r="N284" s="4"/>
      <c r="O284" s="78"/>
      <c r="P284" s="4"/>
    </row>
    <row r="285" spans="1:16" x14ac:dyDescent="0.3">
      <c r="A285" s="241"/>
      <c r="B285" s="254"/>
      <c r="C285" s="257"/>
      <c r="D285" s="287"/>
      <c r="E285" s="287"/>
      <c r="F285" s="4"/>
      <c r="G285" s="4"/>
      <c r="H285" s="4"/>
      <c r="I285" s="4"/>
      <c r="J285" s="4"/>
      <c r="K285" s="4"/>
      <c r="L285" s="20">
        <f t="shared" si="179"/>
        <v>0</v>
      </c>
      <c r="M285" s="241"/>
      <c r="N285" s="4"/>
      <c r="O285" s="71"/>
      <c r="P285" s="4"/>
    </row>
    <row r="286" spans="1:16" ht="15" thickBot="1" x14ac:dyDescent="0.35">
      <c r="A286" s="241"/>
      <c r="B286" s="254"/>
      <c r="C286" s="257"/>
      <c r="D286" s="287"/>
      <c r="E286" s="287"/>
      <c r="F286" s="6"/>
      <c r="G286" s="6"/>
      <c r="H286" s="6"/>
      <c r="I286" s="6"/>
      <c r="J286" s="6"/>
      <c r="K286" s="6"/>
      <c r="L286" s="20">
        <f t="shared" si="179"/>
        <v>0</v>
      </c>
      <c r="M286" s="242"/>
      <c r="N286" s="6"/>
      <c r="O286" s="87"/>
      <c r="P286" s="6"/>
    </row>
    <row r="287" spans="1:16" ht="15.6" thickTop="1" thickBot="1" x14ac:dyDescent="0.35">
      <c r="A287" s="242"/>
      <c r="B287" s="255"/>
      <c r="C287" s="258"/>
      <c r="D287" s="288"/>
      <c r="E287" s="288"/>
      <c r="F287" s="243"/>
      <c r="G287" s="244"/>
      <c r="H287" s="8">
        <f t="shared" ref="H287:L287" si="180">SUM(H282:H286)</f>
        <v>500</v>
      </c>
      <c r="I287" s="8">
        <f t="shared" si="180"/>
        <v>2500</v>
      </c>
      <c r="J287" s="8">
        <f t="shared" si="180"/>
        <v>3000</v>
      </c>
      <c r="K287" s="8">
        <f t="shared" si="180"/>
        <v>0</v>
      </c>
      <c r="L287" s="8">
        <f t="shared" si="180"/>
        <v>6000</v>
      </c>
      <c r="M287" s="8"/>
      <c r="N287" s="8">
        <f>M282-L287</f>
        <v>8500</v>
      </c>
      <c r="O287" s="100"/>
      <c r="P287" s="8">
        <f t="shared" ref="P287" si="181">SUM(P282:P286)</f>
        <v>0</v>
      </c>
    </row>
    <row r="288" spans="1:16" ht="15" thickTop="1" x14ac:dyDescent="0.3">
      <c r="A288" s="260">
        <f t="shared" ref="A288" si="182">A282+1</f>
        <v>48</v>
      </c>
      <c r="B288" s="261" t="s">
        <v>667</v>
      </c>
      <c r="C288" s="264" t="s">
        <v>668</v>
      </c>
      <c r="D288" s="280" t="s">
        <v>669</v>
      </c>
      <c r="E288" s="269" t="s">
        <v>596</v>
      </c>
      <c r="F288" s="39">
        <v>6874</v>
      </c>
      <c r="G288" s="47" t="s">
        <v>605</v>
      </c>
      <c r="H288" s="34">
        <v>500</v>
      </c>
      <c r="I288" s="34">
        <v>3500</v>
      </c>
      <c r="J288" s="34">
        <v>3000</v>
      </c>
      <c r="K288" s="34"/>
      <c r="L288" s="34">
        <f>SUM(H288:K288)</f>
        <v>7000</v>
      </c>
      <c r="M288" s="249">
        <v>14500</v>
      </c>
      <c r="N288" s="34"/>
      <c r="O288" s="94" t="s">
        <v>295</v>
      </c>
      <c r="P288" s="34"/>
    </row>
    <row r="289" spans="1:16" x14ac:dyDescent="0.3">
      <c r="A289" s="249"/>
      <c r="B289" s="262"/>
      <c r="C289" s="265"/>
      <c r="D289" s="267"/>
      <c r="E289" s="265"/>
      <c r="F289" s="31">
        <v>6955</v>
      </c>
      <c r="G289" s="36" t="s">
        <v>670</v>
      </c>
      <c r="H289" s="36"/>
      <c r="I289" s="36">
        <v>7500</v>
      </c>
      <c r="J289" s="36"/>
      <c r="K289" s="36"/>
      <c r="L289" s="34">
        <f t="shared" ref="L289:L292" si="183">SUM(H289:K289)</f>
        <v>7500</v>
      </c>
      <c r="M289" s="249"/>
      <c r="N289" s="36"/>
      <c r="O289" s="73" t="s">
        <v>240</v>
      </c>
      <c r="P289" s="36"/>
    </row>
    <row r="290" spans="1:16" x14ac:dyDescent="0.3">
      <c r="A290" s="249"/>
      <c r="B290" s="262"/>
      <c r="C290" s="265"/>
      <c r="D290" s="267"/>
      <c r="E290" s="265"/>
      <c r="F290" s="36"/>
      <c r="G290" s="36"/>
      <c r="H290" s="36"/>
      <c r="I290" s="36"/>
      <c r="J290" s="36"/>
      <c r="K290" s="36"/>
      <c r="L290" s="34">
        <f t="shared" si="183"/>
        <v>0</v>
      </c>
      <c r="M290" s="249"/>
      <c r="N290" s="36"/>
      <c r="O290" s="81" t="s">
        <v>240</v>
      </c>
      <c r="P290" s="36"/>
    </row>
    <row r="291" spans="1:16" x14ac:dyDescent="0.3">
      <c r="A291" s="249"/>
      <c r="B291" s="262"/>
      <c r="C291" s="265"/>
      <c r="D291" s="267"/>
      <c r="E291" s="265"/>
      <c r="F291" s="36"/>
      <c r="G291" s="36"/>
      <c r="H291" s="36"/>
      <c r="I291" s="36"/>
      <c r="J291" s="36"/>
      <c r="K291" s="36"/>
      <c r="L291" s="34">
        <f t="shared" si="183"/>
        <v>0</v>
      </c>
      <c r="M291" s="249"/>
      <c r="N291" s="36"/>
      <c r="O291" s="73"/>
      <c r="P291" s="36"/>
    </row>
    <row r="292" spans="1:16" ht="15" thickBot="1" x14ac:dyDescent="0.35">
      <c r="A292" s="249"/>
      <c r="B292" s="262"/>
      <c r="C292" s="265"/>
      <c r="D292" s="267"/>
      <c r="E292" s="265"/>
      <c r="F292" s="41"/>
      <c r="G292" s="41"/>
      <c r="H292" s="41"/>
      <c r="I292" s="41"/>
      <c r="J292" s="41"/>
      <c r="K292" s="41"/>
      <c r="L292" s="34">
        <f t="shared" si="183"/>
        <v>0</v>
      </c>
      <c r="M292" s="250"/>
      <c r="N292" s="41"/>
      <c r="O292" s="93"/>
      <c r="P292" s="41"/>
    </row>
    <row r="293" spans="1:16" ht="15.6" thickTop="1" thickBot="1" x14ac:dyDescent="0.35">
      <c r="A293" s="250"/>
      <c r="B293" s="263"/>
      <c r="C293" s="266"/>
      <c r="D293" s="268"/>
      <c r="E293" s="266"/>
      <c r="F293" s="251"/>
      <c r="G293" s="252"/>
      <c r="H293" s="14">
        <f t="shared" ref="H293:K293" si="184">SUM(H288:H292)</f>
        <v>500</v>
      </c>
      <c r="I293" s="14">
        <f t="shared" si="184"/>
        <v>11000</v>
      </c>
      <c r="J293" s="14">
        <f t="shared" si="184"/>
        <v>3000</v>
      </c>
      <c r="K293" s="14">
        <f t="shared" si="184"/>
        <v>0</v>
      </c>
      <c r="L293" s="14">
        <f>SUM(L288:L292)</f>
        <v>14500</v>
      </c>
      <c r="M293" s="14"/>
      <c r="N293" s="14">
        <f>M288-L293</f>
        <v>0</v>
      </c>
      <c r="O293" s="111"/>
      <c r="P293" s="14">
        <f>SUM(P288:P292)</f>
        <v>0</v>
      </c>
    </row>
    <row r="294" spans="1:16" ht="15" thickTop="1" x14ac:dyDescent="0.3">
      <c r="A294" s="248">
        <f t="shared" ref="A294" si="185">A288+1</f>
        <v>49</v>
      </c>
      <c r="B294" s="283" t="s">
        <v>671</v>
      </c>
      <c r="C294" s="286" t="s">
        <v>147</v>
      </c>
      <c r="D294" s="256" t="s">
        <v>672</v>
      </c>
      <c r="E294" s="297" t="s">
        <v>663</v>
      </c>
      <c r="F294" s="3">
        <v>6875</v>
      </c>
      <c r="G294" s="29" t="s">
        <v>605</v>
      </c>
      <c r="H294" s="20">
        <v>500</v>
      </c>
      <c r="I294" s="20">
        <v>2000</v>
      </c>
      <c r="J294" s="20">
        <v>3000</v>
      </c>
      <c r="K294" s="20"/>
      <c r="L294" s="20">
        <f>SUM(H294:K294)</f>
        <v>5500</v>
      </c>
      <c r="M294" s="241">
        <v>14500</v>
      </c>
      <c r="N294" s="20"/>
      <c r="O294" s="86"/>
      <c r="P294" s="20">
        <v>1500</v>
      </c>
    </row>
    <row r="295" spans="1:16" x14ac:dyDescent="0.3">
      <c r="A295" s="241"/>
      <c r="B295" s="284"/>
      <c r="C295" s="287"/>
      <c r="D295" s="257"/>
      <c r="E295" s="287"/>
      <c r="F295" s="16"/>
      <c r="G295" s="4"/>
      <c r="H295" s="4"/>
      <c r="I295" s="4"/>
      <c r="J295" s="4"/>
      <c r="K295" s="4"/>
      <c r="L295" s="20">
        <f t="shared" ref="L295:L298" si="186">SUM(H295:K295)</f>
        <v>0</v>
      </c>
      <c r="M295" s="241"/>
      <c r="N295" s="4"/>
      <c r="O295" s="71"/>
      <c r="P295" s="4"/>
    </row>
    <row r="296" spans="1:16" x14ac:dyDescent="0.3">
      <c r="A296" s="241"/>
      <c r="B296" s="284"/>
      <c r="C296" s="287"/>
      <c r="D296" s="257"/>
      <c r="E296" s="287"/>
      <c r="F296" s="4"/>
      <c r="G296" s="4"/>
      <c r="H296" s="4"/>
      <c r="I296" s="4"/>
      <c r="J296" s="4"/>
      <c r="K296" s="4"/>
      <c r="L296" s="20">
        <f t="shared" si="186"/>
        <v>0</v>
      </c>
      <c r="M296" s="241"/>
      <c r="N296" s="4"/>
      <c r="O296" s="78"/>
      <c r="P296" s="4"/>
    </row>
    <row r="297" spans="1:16" x14ac:dyDescent="0.3">
      <c r="A297" s="241"/>
      <c r="B297" s="284"/>
      <c r="C297" s="287"/>
      <c r="D297" s="257"/>
      <c r="E297" s="287"/>
      <c r="F297" s="4"/>
      <c r="G297" s="4"/>
      <c r="H297" s="4"/>
      <c r="I297" s="4"/>
      <c r="J297" s="4"/>
      <c r="K297" s="4"/>
      <c r="L297" s="20">
        <f t="shared" si="186"/>
        <v>0</v>
      </c>
      <c r="M297" s="241"/>
      <c r="N297" s="4"/>
      <c r="O297" s="71"/>
      <c r="P297" s="4"/>
    </row>
    <row r="298" spans="1:16" ht="15" thickBot="1" x14ac:dyDescent="0.35">
      <c r="A298" s="241"/>
      <c r="B298" s="284"/>
      <c r="C298" s="287"/>
      <c r="D298" s="257"/>
      <c r="E298" s="287"/>
      <c r="F298" s="6"/>
      <c r="G298" s="6"/>
      <c r="H298" s="6"/>
      <c r="I298" s="6"/>
      <c r="J298" s="6"/>
      <c r="K298" s="6"/>
      <c r="L298" s="20">
        <f t="shared" si="186"/>
        <v>0</v>
      </c>
      <c r="M298" s="242"/>
      <c r="N298" s="6"/>
      <c r="O298" s="87"/>
      <c r="P298" s="6"/>
    </row>
    <row r="299" spans="1:16" ht="15.6" thickTop="1" thickBot="1" x14ac:dyDescent="0.35">
      <c r="A299" s="242"/>
      <c r="B299" s="285"/>
      <c r="C299" s="288"/>
      <c r="D299" s="258"/>
      <c r="E299" s="288"/>
      <c r="F299" s="243"/>
      <c r="G299" s="244"/>
      <c r="H299" s="8">
        <f t="shared" ref="H299:K299" si="187">SUM(H294:H298)</f>
        <v>500</v>
      </c>
      <c r="I299" s="8">
        <f t="shared" si="187"/>
        <v>2000</v>
      </c>
      <c r="J299" s="8">
        <f t="shared" si="187"/>
        <v>3000</v>
      </c>
      <c r="K299" s="8">
        <f t="shared" si="187"/>
        <v>0</v>
      </c>
      <c r="L299" s="8">
        <f>SUM(L294:L298)</f>
        <v>5500</v>
      </c>
      <c r="M299" s="8"/>
      <c r="N299" s="8">
        <f>M294-L299</f>
        <v>9000</v>
      </c>
      <c r="O299" s="100"/>
      <c r="P299" s="8">
        <f>SUM(P294:P298)</f>
        <v>1500</v>
      </c>
    </row>
    <row r="300" spans="1:16" ht="15" thickTop="1" x14ac:dyDescent="0.3">
      <c r="A300" s="248">
        <f t="shared" ref="A300" si="188">A294+1</f>
        <v>50</v>
      </c>
      <c r="B300" s="283" t="s">
        <v>680</v>
      </c>
      <c r="C300" s="286" t="s">
        <v>277</v>
      </c>
      <c r="D300" s="256" t="s">
        <v>681</v>
      </c>
      <c r="E300" s="297" t="s">
        <v>682</v>
      </c>
      <c r="F300" s="3">
        <v>6883</v>
      </c>
      <c r="G300" s="29" t="s">
        <v>683</v>
      </c>
      <c r="H300" s="20">
        <v>500</v>
      </c>
      <c r="I300" s="20">
        <v>4500</v>
      </c>
      <c r="J300" s="20">
        <v>3000</v>
      </c>
      <c r="K300" s="20"/>
      <c r="L300" s="20">
        <f>SUM(H300:K300)</f>
        <v>8000</v>
      </c>
      <c r="M300" s="241">
        <v>14500</v>
      </c>
      <c r="N300" s="20"/>
      <c r="O300" s="86" t="s">
        <v>295</v>
      </c>
      <c r="P300" s="20"/>
    </row>
    <row r="301" spans="1:16" x14ac:dyDescent="0.3">
      <c r="A301" s="241"/>
      <c r="B301" s="284"/>
      <c r="C301" s="287"/>
      <c r="D301" s="257"/>
      <c r="E301" s="287"/>
      <c r="F301" s="16"/>
      <c r="G301" s="4"/>
      <c r="H301" s="4"/>
      <c r="I301" s="4"/>
      <c r="J301" s="4"/>
      <c r="K301" s="4"/>
      <c r="L301" s="20">
        <f t="shared" ref="L301:L304" si="189">SUM(H301:K301)</f>
        <v>0</v>
      </c>
      <c r="M301" s="241"/>
      <c r="N301" s="4"/>
      <c r="O301" s="71" t="s">
        <v>240</v>
      </c>
      <c r="P301" s="4"/>
    </row>
    <row r="302" spans="1:16" x14ac:dyDescent="0.3">
      <c r="A302" s="241"/>
      <c r="B302" s="284"/>
      <c r="C302" s="287"/>
      <c r="D302" s="257"/>
      <c r="E302" s="287"/>
      <c r="F302" s="4"/>
      <c r="G302" s="4"/>
      <c r="H302" s="4"/>
      <c r="I302" s="4"/>
      <c r="J302" s="4"/>
      <c r="K302" s="4"/>
      <c r="L302" s="20">
        <f t="shared" si="189"/>
        <v>0</v>
      </c>
      <c r="M302" s="241"/>
      <c r="N302" s="4"/>
      <c r="O302" s="78"/>
      <c r="P302" s="4"/>
    </row>
    <row r="303" spans="1:16" x14ac:dyDescent="0.3">
      <c r="A303" s="241"/>
      <c r="B303" s="284"/>
      <c r="C303" s="287"/>
      <c r="D303" s="257"/>
      <c r="E303" s="287"/>
      <c r="F303" s="4"/>
      <c r="G303" s="4"/>
      <c r="H303" s="4"/>
      <c r="I303" s="4"/>
      <c r="J303" s="4"/>
      <c r="K303" s="4"/>
      <c r="L303" s="20">
        <f t="shared" si="189"/>
        <v>0</v>
      </c>
      <c r="M303" s="241"/>
      <c r="N303" s="4"/>
      <c r="O303" s="71"/>
      <c r="P303" s="4"/>
    </row>
    <row r="304" spans="1:16" ht="15" thickBot="1" x14ac:dyDescent="0.35">
      <c r="A304" s="241"/>
      <c r="B304" s="284"/>
      <c r="C304" s="287"/>
      <c r="D304" s="257"/>
      <c r="E304" s="287"/>
      <c r="F304" s="6"/>
      <c r="G304" s="6"/>
      <c r="H304" s="6"/>
      <c r="I304" s="6"/>
      <c r="J304" s="6"/>
      <c r="K304" s="6"/>
      <c r="L304" s="20">
        <f t="shared" si="189"/>
        <v>0</v>
      </c>
      <c r="M304" s="242"/>
      <c r="N304" s="6"/>
      <c r="O304" s="87"/>
      <c r="P304" s="6"/>
    </row>
    <row r="305" spans="1:16" ht="15.6" thickTop="1" thickBot="1" x14ac:dyDescent="0.35">
      <c r="A305" s="242"/>
      <c r="B305" s="285"/>
      <c r="C305" s="288"/>
      <c r="D305" s="258"/>
      <c r="E305" s="288"/>
      <c r="F305" s="243"/>
      <c r="G305" s="244"/>
      <c r="H305" s="8">
        <f t="shared" ref="H305:K305" si="190">SUM(H300:H304)</f>
        <v>500</v>
      </c>
      <c r="I305" s="8">
        <f t="shared" si="190"/>
        <v>4500</v>
      </c>
      <c r="J305" s="8">
        <f t="shared" si="190"/>
        <v>3000</v>
      </c>
      <c r="K305" s="8">
        <f t="shared" si="190"/>
        <v>0</v>
      </c>
      <c r="L305" s="8">
        <f>SUM(L300:L304)</f>
        <v>8000</v>
      </c>
      <c r="M305" s="8"/>
      <c r="N305" s="8">
        <f>M300-L305</f>
        <v>6500</v>
      </c>
      <c r="O305" s="100"/>
      <c r="P305" s="8">
        <f>SUM(P300:P304)</f>
        <v>0</v>
      </c>
    </row>
    <row r="306" spans="1:16" ht="15" thickTop="1" x14ac:dyDescent="0.3">
      <c r="A306" s="260">
        <f t="shared" ref="A306" si="191">A300+1</f>
        <v>51</v>
      </c>
      <c r="B306" s="261" t="s">
        <v>684</v>
      </c>
      <c r="C306" s="264" t="s">
        <v>153</v>
      </c>
      <c r="D306" s="280" t="s">
        <v>415</v>
      </c>
      <c r="E306" s="269" t="s">
        <v>412</v>
      </c>
      <c r="F306" s="39">
        <v>6884</v>
      </c>
      <c r="G306" s="47" t="s">
        <v>683</v>
      </c>
      <c r="H306" s="34">
        <v>500</v>
      </c>
      <c r="I306" s="34">
        <v>11000</v>
      </c>
      <c r="J306" s="34">
        <v>3000</v>
      </c>
      <c r="K306" s="34"/>
      <c r="L306" s="34">
        <f>SUM(H306:K306)</f>
        <v>14500</v>
      </c>
      <c r="M306" s="249">
        <v>14500</v>
      </c>
      <c r="N306" s="34"/>
      <c r="O306" s="94" t="s">
        <v>295</v>
      </c>
      <c r="P306" s="34"/>
    </row>
    <row r="307" spans="1:16" x14ac:dyDescent="0.3">
      <c r="A307" s="249"/>
      <c r="B307" s="262"/>
      <c r="C307" s="265"/>
      <c r="D307" s="267"/>
      <c r="E307" s="265"/>
      <c r="F307" s="31"/>
      <c r="G307" s="36"/>
      <c r="H307" s="36"/>
      <c r="I307" s="36"/>
      <c r="J307" s="36"/>
      <c r="K307" s="36"/>
      <c r="L307" s="34">
        <f t="shared" ref="L307:L310" si="192">SUM(H307:K307)</f>
        <v>0</v>
      </c>
      <c r="M307" s="249"/>
      <c r="N307" s="36"/>
      <c r="O307" s="73"/>
      <c r="P307" s="36"/>
    </row>
    <row r="308" spans="1:16" x14ac:dyDescent="0.3">
      <c r="A308" s="249"/>
      <c r="B308" s="262"/>
      <c r="C308" s="265"/>
      <c r="D308" s="267"/>
      <c r="E308" s="265"/>
      <c r="F308" s="36"/>
      <c r="G308" s="36"/>
      <c r="H308" s="36"/>
      <c r="I308" s="36"/>
      <c r="J308" s="36"/>
      <c r="K308" s="36"/>
      <c r="L308" s="34">
        <f t="shared" si="192"/>
        <v>0</v>
      </c>
      <c r="M308" s="249"/>
      <c r="N308" s="36"/>
      <c r="O308" s="81"/>
      <c r="P308" s="36"/>
    </row>
    <row r="309" spans="1:16" x14ac:dyDescent="0.3">
      <c r="A309" s="249"/>
      <c r="B309" s="262"/>
      <c r="C309" s="265"/>
      <c r="D309" s="267"/>
      <c r="E309" s="265"/>
      <c r="F309" s="36"/>
      <c r="G309" s="36"/>
      <c r="H309" s="36"/>
      <c r="I309" s="36"/>
      <c r="J309" s="36"/>
      <c r="K309" s="36"/>
      <c r="L309" s="34">
        <f t="shared" si="192"/>
        <v>0</v>
      </c>
      <c r="M309" s="249"/>
      <c r="N309" s="36"/>
      <c r="O309" s="73"/>
      <c r="P309" s="36"/>
    </row>
    <row r="310" spans="1:16" ht="15" thickBot="1" x14ac:dyDescent="0.35">
      <c r="A310" s="249"/>
      <c r="B310" s="262"/>
      <c r="C310" s="265"/>
      <c r="D310" s="267"/>
      <c r="E310" s="265"/>
      <c r="F310" s="41"/>
      <c r="G310" s="41"/>
      <c r="H310" s="41"/>
      <c r="I310" s="41"/>
      <c r="J310" s="41"/>
      <c r="K310" s="41"/>
      <c r="L310" s="34">
        <f t="shared" si="192"/>
        <v>0</v>
      </c>
      <c r="M310" s="250"/>
      <c r="N310" s="41"/>
      <c r="O310" s="93"/>
      <c r="P310" s="41"/>
    </row>
    <row r="311" spans="1:16" ht="15.6" thickTop="1" thickBot="1" x14ac:dyDescent="0.35">
      <c r="A311" s="250"/>
      <c r="B311" s="263"/>
      <c r="C311" s="266"/>
      <c r="D311" s="268"/>
      <c r="E311" s="266"/>
      <c r="F311" s="251"/>
      <c r="G311" s="252"/>
      <c r="H311" s="14">
        <f t="shared" ref="H311:K311" si="193">SUM(H306:H310)</f>
        <v>500</v>
      </c>
      <c r="I311" s="14">
        <f t="shared" si="193"/>
        <v>11000</v>
      </c>
      <c r="J311" s="14">
        <f t="shared" si="193"/>
        <v>3000</v>
      </c>
      <c r="K311" s="14">
        <f t="shared" si="193"/>
        <v>0</v>
      </c>
      <c r="L311" s="14">
        <f>SUM(L306:L310)</f>
        <v>14500</v>
      </c>
      <c r="M311" s="14"/>
      <c r="N311" s="14">
        <f>M306-L311</f>
        <v>0</v>
      </c>
      <c r="O311" s="111"/>
      <c r="P311" s="14">
        <f>SUM(P306:P310)</f>
        <v>0</v>
      </c>
    </row>
    <row r="312" spans="1:16" ht="15" thickTop="1" x14ac:dyDescent="0.3">
      <c r="A312" s="260">
        <f t="shared" ref="A312" si="194">A306+1</f>
        <v>52</v>
      </c>
      <c r="B312" s="261" t="s">
        <v>688</v>
      </c>
      <c r="C312" s="264" t="s">
        <v>80</v>
      </c>
      <c r="D312" s="280" t="s">
        <v>681</v>
      </c>
      <c r="E312" s="269" t="s">
        <v>686</v>
      </c>
      <c r="F312" s="39">
        <v>6886</v>
      </c>
      <c r="G312" s="47" t="s">
        <v>683</v>
      </c>
      <c r="H312" s="34">
        <v>500</v>
      </c>
      <c r="I312" s="34">
        <v>3000</v>
      </c>
      <c r="J312" s="34">
        <v>3000</v>
      </c>
      <c r="K312" s="34"/>
      <c r="L312" s="34">
        <f>SUM(H312:K312)</f>
        <v>6500</v>
      </c>
      <c r="M312" s="249">
        <v>14500</v>
      </c>
      <c r="N312" s="34"/>
      <c r="O312" s="94"/>
      <c r="P312" s="34">
        <v>1500</v>
      </c>
    </row>
    <row r="313" spans="1:16" x14ac:dyDescent="0.3">
      <c r="A313" s="249"/>
      <c r="B313" s="262"/>
      <c r="C313" s="265"/>
      <c r="D313" s="267"/>
      <c r="E313" s="265"/>
      <c r="F313" s="31">
        <v>7002</v>
      </c>
      <c r="G313" s="36" t="s">
        <v>806</v>
      </c>
      <c r="H313" s="36"/>
      <c r="I313" s="36">
        <v>8000</v>
      </c>
      <c r="J313" s="36"/>
      <c r="K313" s="36"/>
      <c r="L313" s="34">
        <f t="shared" ref="L313:L316" si="195">SUM(H313:K313)</f>
        <v>8000</v>
      </c>
      <c r="M313" s="249"/>
      <c r="N313" s="36"/>
      <c r="O313" s="73"/>
      <c r="P313" s="36"/>
    </row>
    <row r="314" spans="1:16" x14ac:dyDescent="0.3">
      <c r="A314" s="249"/>
      <c r="B314" s="262"/>
      <c r="C314" s="265"/>
      <c r="D314" s="267"/>
      <c r="E314" s="265"/>
      <c r="F314" s="36"/>
      <c r="G314" s="36"/>
      <c r="H314" s="36"/>
      <c r="I314" s="36"/>
      <c r="J314" s="36"/>
      <c r="K314" s="36"/>
      <c r="L314" s="34">
        <f t="shared" si="195"/>
        <v>0</v>
      </c>
      <c r="M314" s="249"/>
      <c r="N314" s="36"/>
      <c r="O314" s="81"/>
      <c r="P314" s="36"/>
    </row>
    <row r="315" spans="1:16" x14ac:dyDescent="0.3">
      <c r="A315" s="249"/>
      <c r="B315" s="262"/>
      <c r="C315" s="265"/>
      <c r="D315" s="267"/>
      <c r="E315" s="265"/>
      <c r="F315" s="36"/>
      <c r="G315" s="36"/>
      <c r="H315" s="36"/>
      <c r="I315" s="36"/>
      <c r="J315" s="36"/>
      <c r="K315" s="36"/>
      <c r="L315" s="34">
        <f t="shared" si="195"/>
        <v>0</v>
      </c>
      <c r="M315" s="249"/>
      <c r="N315" s="36"/>
      <c r="O315" s="73"/>
      <c r="P315" s="36"/>
    </row>
    <row r="316" spans="1:16" ht="15" thickBot="1" x14ac:dyDescent="0.35">
      <c r="A316" s="249"/>
      <c r="B316" s="262"/>
      <c r="C316" s="265"/>
      <c r="D316" s="267"/>
      <c r="E316" s="265"/>
      <c r="F316" s="41"/>
      <c r="G316" s="41"/>
      <c r="H316" s="41"/>
      <c r="I316" s="41"/>
      <c r="J316" s="41"/>
      <c r="K316" s="41"/>
      <c r="L316" s="34">
        <f t="shared" si="195"/>
        <v>0</v>
      </c>
      <c r="M316" s="250"/>
      <c r="N316" s="41"/>
      <c r="O316" s="93"/>
      <c r="P316" s="41"/>
    </row>
    <row r="317" spans="1:16" ht="15.6" thickTop="1" thickBot="1" x14ac:dyDescent="0.35">
      <c r="A317" s="250"/>
      <c r="B317" s="263"/>
      <c r="C317" s="266"/>
      <c r="D317" s="268"/>
      <c r="E317" s="266"/>
      <c r="F317" s="251"/>
      <c r="G317" s="252"/>
      <c r="H317" s="14">
        <f t="shared" ref="H317:K317" si="196">SUM(H312:H316)</f>
        <v>500</v>
      </c>
      <c r="I317" s="14">
        <f t="shared" si="196"/>
        <v>11000</v>
      </c>
      <c r="J317" s="14">
        <f t="shared" si="196"/>
        <v>3000</v>
      </c>
      <c r="K317" s="14">
        <f t="shared" si="196"/>
        <v>0</v>
      </c>
      <c r="L317" s="14">
        <f>SUM(L312:L316)</f>
        <v>14500</v>
      </c>
      <c r="M317" s="14"/>
      <c r="N317" s="14">
        <f>M312-L317</f>
        <v>0</v>
      </c>
      <c r="O317" s="111"/>
      <c r="P317" s="14">
        <f>SUM(P312:P316)</f>
        <v>1500</v>
      </c>
    </row>
    <row r="318" spans="1:16" ht="15" thickTop="1" x14ac:dyDescent="0.3">
      <c r="A318" s="248">
        <f t="shared" ref="A318" si="197">A312+1</f>
        <v>53</v>
      </c>
      <c r="B318" s="283" t="s">
        <v>689</v>
      </c>
      <c r="C318" s="286" t="s">
        <v>90</v>
      </c>
      <c r="D318" s="256" t="s">
        <v>690</v>
      </c>
      <c r="E318" s="297" t="s">
        <v>691</v>
      </c>
      <c r="F318" s="3">
        <v>6887</v>
      </c>
      <c r="G318" s="29" t="s">
        <v>683</v>
      </c>
      <c r="H318" s="20">
        <v>500</v>
      </c>
      <c r="I318" s="20">
        <v>6500</v>
      </c>
      <c r="J318" s="20">
        <v>3000</v>
      </c>
      <c r="K318" s="20"/>
      <c r="L318" s="20">
        <f>SUM(H318:K318)</f>
        <v>10000</v>
      </c>
      <c r="M318" s="241">
        <v>14500</v>
      </c>
      <c r="N318" s="20"/>
      <c r="O318" s="86" t="s">
        <v>295</v>
      </c>
      <c r="P318" s="20"/>
    </row>
    <row r="319" spans="1:16" x14ac:dyDescent="0.3">
      <c r="A319" s="241"/>
      <c r="B319" s="284"/>
      <c r="C319" s="287"/>
      <c r="D319" s="257"/>
      <c r="E319" s="287"/>
      <c r="F319" s="16"/>
      <c r="G319" s="4"/>
      <c r="H319" s="4"/>
      <c r="I319" s="4"/>
      <c r="J319" s="4"/>
      <c r="K319" s="4"/>
      <c r="L319" s="20">
        <f t="shared" ref="L319:L322" si="198">SUM(H319:K319)</f>
        <v>0</v>
      </c>
      <c r="M319" s="241"/>
      <c r="N319" s="4"/>
      <c r="O319" s="71"/>
      <c r="P319" s="4"/>
    </row>
    <row r="320" spans="1:16" x14ac:dyDescent="0.3">
      <c r="A320" s="241"/>
      <c r="B320" s="284"/>
      <c r="C320" s="287"/>
      <c r="D320" s="257"/>
      <c r="E320" s="287"/>
      <c r="F320" s="4"/>
      <c r="G320" s="4"/>
      <c r="H320" s="4"/>
      <c r="I320" s="4"/>
      <c r="J320" s="4"/>
      <c r="K320" s="4"/>
      <c r="L320" s="20">
        <f t="shared" si="198"/>
        <v>0</v>
      </c>
      <c r="M320" s="241"/>
      <c r="N320" s="4"/>
      <c r="O320" s="78"/>
      <c r="P320" s="4"/>
    </row>
    <row r="321" spans="1:16" x14ac:dyDescent="0.3">
      <c r="A321" s="241"/>
      <c r="B321" s="284"/>
      <c r="C321" s="287"/>
      <c r="D321" s="257"/>
      <c r="E321" s="287"/>
      <c r="F321" s="4"/>
      <c r="G321" s="4"/>
      <c r="H321" s="4"/>
      <c r="I321" s="4"/>
      <c r="J321" s="4"/>
      <c r="K321" s="4"/>
      <c r="L321" s="20">
        <f t="shared" si="198"/>
        <v>0</v>
      </c>
      <c r="M321" s="241"/>
      <c r="N321" s="4"/>
      <c r="O321" s="71"/>
      <c r="P321" s="4"/>
    </row>
    <row r="322" spans="1:16" ht="15" thickBot="1" x14ac:dyDescent="0.35">
      <c r="A322" s="241"/>
      <c r="B322" s="284"/>
      <c r="C322" s="287"/>
      <c r="D322" s="257"/>
      <c r="E322" s="287"/>
      <c r="F322" s="6"/>
      <c r="G322" s="6"/>
      <c r="H322" s="6"/>
      <c r="I322" s="6"/>
      <c r="J322" s="6"/>
      <c r="K322" s="6"/>
      <c r="L322" s="20">
        <f t="shared" si="198"/>
        <v>0</v>
      </c>
      <c r="M322" s="242"/>
      <c r="N322" s="6"/>
      <c r="O322" s="87"/>
      <c r="P322" s="6"/>
    </row>
    <row r="323" spans="1:16" ht="15.6" thickTop="1" thickBot="1" x14ac:dyDescent="0.35">
      <c r="A323" s="242"/>
      <c r="B323" s="285"/>
      <c r="C323" s="288"/>
      <c r="D323" s="258"/>
      <c r="E323" s="288"/>
      <c r="F323" s="243"/>
      <c r="G323" s="244"/>
      <c r="H323" s="8">
        <f t="shared" ref="H323:K323" si="199">SUM(H318:H322)</f>
        <v>500</v>
      </c>
      <c r="I323" s="8">
        <f t="shared" si="199"/>
        <v>6500</v>
      </c>
      <c r="J323" s="8">
        <f t="shared" si="199"/>
        <v>3000</v>
      </c>
      <c r="K323" s="8">
        <f t="shared" si="199"/>
        <v>0</v>
      </c>
      <c r="L323" s="8">
        <f>SUM(L318:L322)</f>
        <v>10000</v>
      </c>
      <c r="M323" s="8"/>
      <c r="N323" s="8">
        <f>M318-L323</f>
        <v>4500</v>
      </c>
      <c r="O323" s="100"/>
      <c r="P323" s="8">
        <f>SUM(P318:P322)</f>
        <v>0</v>
      </c>
    </row>
    <row r="324" spans="1:16" ht="15" thickTop="1" x14ac:dyDescent="0.3">
      <c r="A324" s="248">
        <f t="shared" ref="A324" si="200">A318+1</f>
        <v>54</v>
      </c>
      <c r="B324" s="283" t="s">
        <v>696</v>
      </c>
      <c r="C324" s="286" t="s">
        <v>119</v>
      </c>
      <c r="D324" s="256" t="s">
        <v>418</v>
      </c>
      <c r="E324" s="297" t="s">
        <v>695</v>
      </c>
      <c r="F324" s="3">
        <v>6899</v>
      </c>
      <c r="G324" s="29" t="s">
        <v>511</v>
      </c>
      <c r="H324" s="20">
        <v>500</v>
      </c>
      <c r="I324" s="20">
        <v>3000</v>
      </c>
      <c r="J324" s="20">
        <v>3000</v>
      </c>
      <c r="K324" s="20"/>
      <c r="L324" s="20">
        <f>SUM(H324:K324)</f>
        <v>6500</v>
      </c>
      <c r="M324" s="241">
        <v>14500</v>
      </c>
      <c r="N324" s="20"/>
      <c r="O324" s="86"/>
      <c r="P324" s="20">
        <v>1500</v>
      </c>
    </row>
    <row r="325" spans="1:16" x14ac:dyDescent="0.3">
      <c r="A325" s="241"/>
      <c r="B325" s="284"/>
      <c r="C325" s="287"/>
      <c r="D325" s="257"/>
      <c r="E325" s="287"/>
      <c r="F325" s="16"/>
      <c r="G325" s="4"/>
      <c r="H325" s="4"/>
      <c r="I325" s="4"/>
      <c r="J325" s="4"/>
      <c r="K325" s="4"/>
      <c r="L325" s="20">
        <f t="shared" ref="L325:L328" si="201">SUM(H325:K325)</f>
        <v>0</v>
      </c>
      <c r="M325" s="241"/>
      <c r="N325" s="4"/>
      <c r="O325" s="71"/>
      <c r="P325" s="4"/>
    </row>
    <row r="326" spans="1:16" x14ac:dyDescent="0.3">
      <c r="A326" s="241"/>
      <c r="B326" s="284"/>
      <c r="C326" s="287"/>
      <c r="D326" s="257"/>
      <c r="E326" s="287"/>
      <c r="F326" s="4"/>
      <c r="G326" s="4"/>
      <c r="H326" s="4"/>
      <c r="I326" s="4"/>
      <c r="J326" s="4"/>
      <c r="K326" s="4"/>
      <c r="L326" s="20">
        <f t="shared" si="201"/>
        <v>0</v>
      </c>
      <c r="M326" s="241"/>
      <c r="N326" s="4"/>
      <c r="O326" s="78"/>
      <c r="P326" s="4"/>
    </row>
    <row r="327" spans="1:16" x14ac:dyDescent="0.3">
      <c r="A327" s="241"/>
      <c r="B327" s="284"/>
      <c r="C327" s="287"/>
      <c r="D327" s="257"/>
      <c r="E327" s="287"/>
      <c r="F327" s="4"/>
      <c r="G327" s="4"/>
      <c r="H327" s="4"/>
      <c r="I327" s="4"/>
      <c r="J327" s="4"/>
      <c r="K327" s="4"/>
      <c r="L327" s="20">
        <f t="shared" si="201"/>
        <v>0</v>
      </c>
      <c r="M327" s="241"/>
      <c r="N327" s="4"/>
      <c r="O327" s="71"/>
      <c r="P327" s="4"/>
    </row>
    <row r="328" spans="1:16" ht="15" thickBot="1" x14ac:dyDescent="0.35">
      <c r="A328" s="241"/>
      <c r="B328" s="284"/>
      <c r="C328" s="287"/>
      <c r="D328" s="257"/>
      <c r="E328" s="287"/>
      <c r="F328" s="6"/>
      <c r="G328" s="6"/>
      <c r="H328" s="6"/>
      <c r="I328" s="6"/>
      <c r="J328" s="6"/>
      <c r="K328" s="6"/>
      <c r="L328" s="20">
        <f t="shared" si="201"/>
        <v>0</v>
      </c>
      <c r="M328" s="242"/>
      <c r="N328" s="6"/>
      <c r="O328" s="87"/>
      <c r="P328" s="6"/>
    </row>
    <row r="329" spans="1:16" ht="15.6" thickTop="1" thickBot="1" x14ac:dyDescent="0.35">
      <c r="A329" s="242"/>
      <c r="B329" s="285"/>
      <c r="C329" s="288"/>
      <c r="D329" s="258"/>
      <c r="E329" s="288"/>
      <c r="F329" s="243"/>
      <c r="G329" s="244"/>
      <c r="H329" s="8">
        <f t="shared" ref="H329:K329" si="202">SUM(H324:H328)</f>
        <v>500</v>
      </c>
      <c r="I329" s="8">
        <f t="shared" si="202"/>
        <v>3000</v>
      </c>
      <c r="J329" s="8">
        <f t="shared" si="202"/>
        <v>3000</v>
      </c>
      <c r="K329" s="8">
        <f t="shared" si="202"/>
        <v>0</v>
      </c>
      <c r="L329" s="8">
        <f>SUM(L324:L328)</f>
        <v>6500</v>
      </c>
      <c r="M329" s="8"/>
      <c r="N329" s="8">
        <f>M324-L329</f>
        <v>8000</v>
      </c>
      <c r="O329" s="100"/>
      <c r="P329" s="8">
        <f>SUM(P324:P328)</f>
        <v>1500</v>
      </c>
    </row>
    <row r="330" spans="1:16" ht="15" thickTop="1" x14ac:dyDescent="0.3">
      <c r="A330" s="248">
        <f t="shared" ref="A330" si="203">A324+1</f>
        <v>55</v>
      </c>
      <c r="B330" s="283" t="s">
        <v>697</v>
      </c>
      <c r="C330" s="286" t="s">
        <v>698</v>
      </c>
      <c r="D330" s="256" t="s">
        <v>699</v>
      </c>
      <c r="E330" s="297" t="s">
        <v>700</v>
      </c>
      <c r="F330" s="3">
        <v>6900</v>
      </c>
      <c r="G330" s="29" t="s">
        <v>511</v>
      </c>
      <c r="H330" s="20">
        <v>500</v>
      </c>
      <c r="I330" s="20">
        <v>3000</v>
      </c>
      <c r="J330" s="20">
        <v>3000</v>
      </c>
      <c r="K330" s="20"/>
      <c r="L330" s="20">
        <f>SUM(H330:K330)</f>
        <v>6500</v>
      </c>
      <c r="M330" s="241">
        <v>14500</v>
      </c>
      <c r="N330" s="20"/>
      <c r="O330" s="86"/>
      <c r="P330" s="20">
        <v>1500</v>
      </c>
    </row>
    <row r="331" spans="1:16" x14ac:dyDescent="0.3">
      <c r="A331" s="241"/>
      <c r="B331" s="284"/>
      <c r="C331" s="287"/>
      <c r="D331" s="257"/>
      <c r="E331" s="287"/>
      <c r="F331" s="16"/>
      <c r="G331" s="4"/>
      <c r="H331" s="4"/>
      <c r="I331" s="4"/>
      <c r="J331" s="4"/>
      <c r="K331" s="4"/>
      <c r="L331" s="20">
        <f t="shared" ref="L331:L334" si="204">SUM(H331:K331)</f>
        <v>0</v>
      </c>
      <c r="M331" s="241"/>
      <c r="N331" s="4"/>
      <c r="O331" s="71"/>
      <c r="P331" s="4"/>
    </row>
    <row r="332" spans="1:16" x14ac:dyDescent="0.3">
      <c r="A332" s="241"/>
      <c r="B332" s="284"/>
      <c r="C332" s="287"/>
      <c r="D332" s="257"/>
      <c r="E332" s="287"/>
      <c r="F332" s="4"/>
      <c r="G332" s="4"/>
      <c r="H332" s="4"/>
      <c r="I332" s="4"/>
      <c r="J332" s="4"/>
      <c r="K332" s="4"/>
      <c r="L332" s="20">
        <f t="shared" si="204"/>
        <v>0</v>
      </c>
      <c r="M332" s="241"/>
      <c r="N332" s="4"/>
      <c r="O332" s="78"/>
      <c r="P332" s="4"/>
    </row>
    <row r="333" spans="1:16" x14ac:dyDescent="0.3">
      <c r="A333" s="241"/>
      <c r="B333" s="284"/>
      <c r="C333" s="287"/>
      <c r="D333" s="257"/>
      <c r="E333" s="287"/>
      <c r="F333" s="4"/>
      <c r="G333" s="4"/>
      <c r="H333" s="4"/>
      <c r="I333" s="4"/>
      <c r="J333" s="4"/>
      <c r="K333" s="4"/>
      <c r="L333" s="20">
        <f t="shared" si="204"/>
        <v>0</v>
      </c>
      <c r="M333" s="241"/>
      <c r="N333" s="4"/>
      <c r="O333" s="71"/>
      <c r="P333" s="4"/>
    </row>
    <row r="334" spans="1:16" ht="15" thickBot="1" x14ac:dyDescent="0.35">
      <c r="A334" s="241"/>
      <c r="B334" s="284"/>
      <c r="C334" s="287"/>
      <c r="D334" s="257"/>
      <c r="E334" s="287"/>
      <c r="F334" s="6"/>
      <c r="G334" s="6"/>
      <c r="H334" s="6"/>
      <c r="I334" s="6"/>
      <c r="J334" s="6"/>
      <c r="K334" s="6"/>
      <c r="L334" s="20">
        <f t="shared" si="204"/>
        <v>0</v>
      </c>
      <c r="M334" s="242"/>
      <c r="N334" s="6"/>
      <c r="O334" s="87"/>
      <c r="P334" s="6"/>
    </row>
    <row r="335" spans="1:16" ht="15.6" thickTop="1" thickBot="1" x14ac:dyDescent="0.35">
      <c r="A335" s="242"/>
      <c r="B335" s="285"/>
      <c r="C335" s="288"/>
      <c r="D335" s="258"/>
      <c r="E335" s="288"/>
      <c r="F335" s="243"/>
      <c r="G335" s="244"/>
      <c r="H335" s="8">
        <f t="shared" ref="H335:K335" si="205">SUM(H330:H334)</f>
        <v>500</v>
      </c>
      <c r="I335" s="8">
        <f t="shared" si="205"/>
        <v>3000</v>
      </c>
      <c r="J335" s="8">
        <f t="shared" si="205"/>
        <v>3000</v>
      </c>
      <c r="K335" s="8">
        <f t="shared" si="205"/>
        <v>0</v>
      </c>
      <c r="L335" s="8">
        <f>SUM(L330:L334)</f>
        <v>6500</v>
      </c>
      <c r="M335" s="8"/>
      <c r="N335" s="8">
        <f>M330-L335</f>
        <v>8000</v>
      </c>
      <c r="O335" s="100"/>
      <c r="P335" s="8">
        <f>SUM(P330:P334)</f>
        <v>1500</v>
      </c>
    </row>
    <row r="336" spans="1:16" ht="15" thickTop="1" x14ac:dyDescent="0.3">
      <c r="A336" s="248">
        <f t="shared" ref="A336" si="206">A330+1</f>
        <v>56</v>
      </c>
      <c r="B336" s="283" t="s">
        <v>701</v>
      </c>
      <c r="C336" s="286" t="s">
        <v>698</v>
      </c>
      <c r="D336" s="256" t="s">
        <v>699</v>
      </c>
      <c r="E336" s="297" t="s">
        <v>700</v>
      </c>
      <c r="F336" s="3">
        <v>6901</v>
      </c>
      <c r="G336" s="29" t="s">
        <v>511</v>
      </c>
      <c r="H336" s="20">
        <v>500</v>
      </c>
      <c r="I336" s="20">
        <v>3000</v>
      </c>
      <c r="J336" s="20">
        <v>3000</v>
      </c>
      <c r="K336" s="20"/>
      <c r="L336" s="20">
        <f>SUM(H336:K336)</f>
        <v>6500</v>
      </c>
      <c r="M336" s="241">
        <v>14500</v>
      </c>
      <c r="N336" s="20"/>
      <c r="O336" s="86"/>
      <c r="P336" s="20">
        <v>1500</v>
      </c>
    </row>
    <row r="337" spans="1:16" x14ac:dyDescent="0.3">
      <c r="A337" s="241"/>
      <c r="B337" s="284"/>
      <c r="C337" s="287"/>
      <c r="D337" s="257"/>
      <c r="E337" s="287"/>
      <c r="F337" s="16"/>
      <c r="G337" s="4"/>
      <c r="H337" s="4"/>
      <c r="I337" s="4"/>
      <c r="J337" s="4"/>
      <c r="K337" s="4"/>
      <c r="L337" s="20">
        <f t="shared" ref="L337:L340" si="207">SUM(H337:K337)</f>
        <v>0</v>
      </c>
      <c r="M337" s="241"/>
      <c r="N337" s="4"/>
      <c r="O337" s="71"/>
      <c r="P337" s="4"/>
    </row>
    <row r="338" spans="1:16" x14ac:dyDescent="0.3">
      <c r="A338" s="241"/>
      <c r="B338" s="284"/>
      <c r="C338" s="287"/>
      <c r="D338" s="257"/>
      <c r="E338" s="287"/>
      <c r="F338" s="4"/>
      <c r="G338" s="4"/>
      <c r="H338" s="4"/>
      <c r="I338" s="4"/>
      <c r="J338" s="4"/>
      <c r="K338" s="4"/>
      <c r="L338" s="20">
        <f t="shared" si="207"/>
        <v>0</v>
      </c>
      <c r="M338" s="241"/>
      <c r="N338" s="4"/>
      <c r="O338" s="78"/>
      <c r="P338" s="4"/>
    </row>
    <row r="339" spans="1:16" x14ac:dyDescent="0.3">
      <c r="A339" s="241"/>
      <c r="B339" s="284"/>
      <c r="C339" s="287"/>
      <c r="D339" s="257"/>
      <c r="E339" s="287"/>
      <c r="F339" s="4"/>
      <c r="G339" s="4"/>
      <c r="H339" s="4"/>
      <c r="I339" s="4"/>
      <c r="J339" s="4"/>
      <c r="K339" s="4"/>
      <c r="L339" s="20">
        <f t="shared" si="207"/>
        <v>0</v>
      </c>
      <c r="M339" s="241"/>
      <c r="N339" s="4"/>
      <c r="O339" s="71"/>
      <c r="P339" s="4"/>
    </row>
    <row r="340" spans="1:16" ht="15" thickBot="1" x14ac:dyDescent="0.35">
      <c r="A340" s="241"/>
      <c r="B340" s="284"/>
      <c r="C340" s="287"/>
      <c r="D340" s="257"/>
      <c r="E340" s="287"/>
      <c r="F340" s="6"/>
      <c r="G340" s="6"/>
      <c r="H340" s="6"/>
      <c r="I340" s="6"/>
      <c r="J340" s="6"/>
      <c r="K340" s="6"/>
      <c r="L340" s="20">
        <f t="shared" si="207"/>
        <v>0</v>
      </c>
      <c r="M340" s="242"/>
      <c r="N340" s="6"/>
      <c r="O340" s="87"/>
      <c r="P340" s="6"/>
    </row>
    <row r="341" spans="1:16" ht="15.6" thickTop="1" thickBot="1" x14ac:dyDescent="0.35">
      <c r="A341" s="242"/>
      <c r="B341" s="285"/>
      <c r="C341" s="288"/>
      <c r="D341" s="258"/>
      <c r="E341" s="288"/>
      <c r="F341" s="243"/>
      <c r="G341" s="244"/>
      <c r="H341" s="8">
        <f t="shared" ref="H341:K341" si="208">SUM(H336:H340)</f>
        <v>500</v>
      </c>
      <c r="I341" s="8">
        <f t="shared" si="208"/>
        <v>3000</v>
      </c>
      <c r="J341" s="8">
        <f t="shared" si="208"/>
        <v>3000</v>
      </c>
      <c r="K341" s="8">
        <f t="shared" si="208"/>
        <v>0</v>
      </c>
      <c r="L341" s="8">
        <f>SUM(L336:L340)</f>
        <v>6500</v>
      </c>
      <c r="M341" s="8"/>
      <c r="N341" s="8">
        <f>M336-L341</f>
        <v>8000</v>
      </c>
      <c r="O341" s="100"/>
      <c r="P341" s="8">
        <f>SUM(P336:P340)</f>
        <v>1500</v>
      </c>
    </row>
    <row r="342" spans="1:16" ht="15" thickTop="1" x14ac:dyDescent="0.3">
      <c r="A342" s="248">
        <f t="shared" ref="A342" si="209">A336+1</f>
        <v>57</v>
      </c>
      <c r="B342" s="253" t="s">
        <v>702</v>
      </c>
      <c r="C342" s="256" t="s">
        <v>109</v>
      </c>
      <c r="D342" s="257" t="s">
        <v>426</v>
      </c>
      <c r="E342" s="292" t="s">
        <v>703</v>
      </c>
      <c r="F342" s="3">
        <v>6914</v>
      </c>
      <c r="G342" s="29" t="s">
        <v>525</v>
      </c>
      <c r="H342" s="20"/>
      <c r="I342" s="20">
        <v>2000</v>
      </c>
      <c r="J342" s="20">
        <v>3000</v>
      </c>
      <c r="K342" s="20"/>
      <c r="L342" s="20">
        <f>SUM(H342:K342)</f>
        <v>5000</v>
      </c>
      <c r="M342" s="241">
        <v>14500</v>
      </c>
      <c r="N342" s="20"/>
      <c r="O342" s="86" t="s">
        <v>295</v>
      </c>
      <c r="P342" s="20"/>
    </row>
    <row r="343" spans="1:16" x14ac:dyDescent="0.3">
      <c r="A343" s="241"/>
      <c r="B343" s="254"/>
      <c r="C343" s="257"/>
      <c r="D343" s="257"/>
      <c r="E343" s="287"/>
      <c r="F343" s="16"/>
      <c r="G343" s="4"/>
      <c r="H343" s="4"/>
      <c r="I343" s="4"/>
      <c r="J343" s="4"/>
      <c r="K343" s="4"/>
      <c r="L343" s="20">
        <f t="shared" ref="L343:L346" si="210">SUM(H343:K343)</f>
        <v>0</v>
      </c>
      <c r="M343" s="241"/>
      <c r="N343" s="4"/>
      <c r="O343" s="71"/>
      <c r="P343" s="4"/>
    </row>
    <row r="344" spans="1:16" x14ac:dyDescent="0.3">
      <c r="A344" s="241"/>
      <c r="B344" s="254"/>
      <c r="C344" s="257"/>
      <c r="D344" s="257"/>
      <c r="E344" s="287"/>
      <c r="F344" s="4"/>
      <c r="G344" s="4"/>
      <c r="H344" s="4"/>
      <c r="I344" s="4"/>
      <c r="J344" s="4"/>
      <c r="K344" s="4"/>
      <c r="L344" s="20">
        <f t="shared" si="210"/>
        <v>0</v>
      </c>
      <c r="M344" s="241"/>
      <c r="N344" s="4"/>
      <c r="O344" s="78"/>
      <c r="P344" s="4"/>
    </row>
    <row r="345" spans="1:16" x14ac:dyDescent="0.3">
      <c r="A345" s="241"/>
      <c r="B345" s="254"/>
      <c r="C345" s="257"/>
      <c r="D345" s="257"/>
      <c r="E345" s="287"/>
      <c r="F345" s="4"/>
      <c r="G345" s="4"/>
      <c r="H345" s="4"/>
      <c r="I345" s="4"/>
      <c r="J345" s="4"/>
      <c r="K345" s="4"/>
      <c r="L345" s="20">
        <f t="shared" si="210"/>
        <v>0</v>
      </c>
      <c r="M345" s="241"/>
      <c r="N345" s="4"/>
      <c r="O345" s="71"/>
      <c r="P345" s="4"/>
    </row>
    <row r="346" spans="1:16" ht="15" thickBot="1" x14ac:dyDescent="0.35">
      <c r="A346" s="241"/>
      <c r="B346" s="254"/>
      <c r="C346" s="257"/>
      <c r="D346" s="257"/>
      <c r="E346" s="287"/>
      <c r="F346" s="6"/>
      <c r="G346" s="6"/>
      <c r="H346" s="6"/>
      <c r="I346" s="6"/>
      <c r="J346" s="6"/>
      <c r="K346" s="6"/>
      <c r="L346" s="20">
        <f t="shared" si="210"/>
        <v>0</v>
      </c>
      <c r="M346" s="242"/>
      <c r="N346" s="6"/>
      <c r="O346" s="87"/>
      <c r="P346" s="6"/>
    </row>
    <row r="347" spans="1:16" ht="15.6" thickTop="1" thickBot="1" x14ac:dyDescent="0.35">
      <c r="A347" s="242"/>
      <c r="B347" s="255"/>
      <c r="C347" s="258"/>
      <c r="D347" s="258"/>
      <c r="E347" s="288"/>
      <c r="F347" s="243"/>
      <c r="G347" s="244"/>
      <c r="H347" s="8">
        <f t="shared" ref="H347:K347" si="211">SUM(H342:H346)</f>
        <v>0</v>
      </c>
      <c r="I347" s="8">
        <f t="shared" si="211"/>
        <v>2000</v>
      </c>
      <c r="J347" s="8">
        <f t="shared" si="211"/>
        <v>3000</v>
      </c>
      <c r="K347" s="8">
        <f t="shared" si="211"/>
        <v>0</v>
      </c>
      <c r="L347" s="8">
        <f>SUM(L342:L346)</f>
        <v>5000</v>
      </c>
      <c r="M347" s="8"/>
      <c r="N347" s="8">
        <f>M342-L347</f>
        <v>9500</v>
      </c>
      <c r="O347" s="100"/>
      <c r="P347" s="8">
        <f>SUM(P342:P346)</f>
        <v>0</v>
      </c>
    </row>
    <row r="348" spans="1:16" ht="15" thickTop="1" x14ac:dyDescent="0.3">
      <c r="A348" s="248">
        <f t="shared" ref="A348" si="212">A342+1</f>
        <v>58</v>
      </c>
      <c r="B348" s="253" t="s">
        <v>710</v>
      </c>
      <c r="C348" s="256" t="s">
        <v>277</v>
      </c>
      <c r="D348" s="256" t="s">
        <v>711</v>
      </c>
      <c r="E348" s="259" t="s">
        <v>712</v>
      </c>
      <c r="F348" s="3">
        <v>6917</v>
      </c>
      <c r="G348" s="29" t="s">
        <v>713</v>
      </c>
      <c r="H348" s="20">
        <v>500</v>
      </c>
      <c r="I348" s="20">
        <v>2000</v>
      </c>
      <c r="J348" s="20">
        <v>3000</v>
      </c>
      <c r="K348" s="20"/>
      <c r="L348" s="20">
        <f>SUM(H348:K348)</f>
        <v>5500</v>
      </c>
      <c r="M348" s="241">
        <v>14500</v>
      </c>
      <c r="N348" s="20"/>
      <c r="O348" s="86" t="s">
        <v>295</v>
      </c>
      <c r="P348" s="20"/>
    </row>
    <row r="349" spans="1:16" x14ac:dyDescent="0.3">
      <c r="A349" s="241"/>
      <c r="B349" s="254"/>
      <c r="C349" s="257"/>
      <c r="D349" s="257"/>
      <c r="E349" s="257"/>
      <c r="F349" s="16">
        <v>6974</v>
      </c>
      <c r="G349" s="4" t="s">
        <v>707</v>
      </c>
      <c r="H349" s="4"/>
      <c r="I349" s="4">
        <v>5000</v>
      </c>
      <c r="J349" s="4"/>
      <c r="K349" s="4"/>
      <c r="L349" s="20">
        <f t="shared" ref="L349:L352" si="213">SUM(H349:K349)</f>
        <v>5000</v>
      </c>
      <c r="M349" s="241"/>
      <c r="N349" s="4"/>
      <c r="O349" s="71"/>
      <c r="P349" s="4"/>
    </row>
    <row r="350" spans="1:16" x14ac:dyDescent="0.3">
      <c r="A350" s="241"/>
      <c r="B350" s="254"/>
      <c r="C350" s="257"/>
      <c r="D350" s="257"/>
      <c r="E350" s="257"/>
      <c r="F350" s="4"/>
      <c r="G350" s="4"/>
      <c r="H350" s="4"/>
      <c r="I350" s="4"/>
      <c r="J350" s="4"/>
      <c r="K350" s="4"/>
      <c r="L350" s="20">
        <f t="shared" si="213"/>
        <v>0</v>
      </c>
      <c r="M350" s="241"/>
      <c r="N350" s="4"/>
      <c r="O350" s="78"/>
      <c r="P350" s="4"/>
    </row>
    <row r="351" spans="1:16" x14ac:dyDescent="0.3">
      <c r="A351" s="241"/>
      <c r="B351" s="254"/>
      <c r="C351" s="257"/>
      <c r="D351" s="257"/>
      <c r="E351" s="257"/>
      <c r="F351" s="4"/>
      <c r="G351" s="4"/>
      <c r="H351" s="4"/>
      <c r="I351" s="4"/>
      <c r="J351" s="4"/>
      <c r="K351" s="4"/>
      <c r="L351" s="20">
        <f t="shared" si="213"/>
        <v>0</v>
      </c>
      <c r="M351" s="241"/>
      <c r="N351" s="4"/>
      <c r="O351" s="71"/>
      <c r="P351" s="4"/>
    </row>
    <row r="352" spans="1:16" ht="15" thickBot="1" x14ac:dyDescent="0.35">
      <c r="A352" s="241"/>
      <c r="B352" s="254"/>
      <c r="C352" s="257"/>
      <c r="D352" s="257"/>
      <c r="E352" s="257"/>
      <c r="F352" s="6"/>
      <c r="G352" s="6"/>
      <c r="H352" s="6"/>
      <c r="I352" s="6"/>
      <c r="J352" s="6"/>
      <c r="K352" s="6"/>
      <c r="L352" s="20">
        <f t="shared" si="213"/>
        <v>0</v>
      </c>
      <c r="M352" s="242"/>
      <c r="N352" s="6"/>
      <c r="O352" s="87"/>
      <c r="P352" s="6"/>
    </row>
    <row r="353" spans="1:16" ht="15.6" thickTop="1" thickBot="1" x14ac:dyDescent="0.35">
      <c r="A353" s="242"/>
      <c r="B353" s="255"/>
      <c r="C353" s="258"/>
      <c r="D353" s="258"/>
      <c r="E353" s="258"/>
      <c r="F353" s="243"/>
      <c r="G353" s="244"/>
      <c r="H353" s="8">
        <f t="shared" ref="H353:K353" si="214">SUM(H348:H352)</f>
        <v>500</v>
      </c>
      <c r="I353" s="8">
        <f t="shared" si="214"/>
        <v>7000</v>
      </c>
      <c r="J353" s="8">
        <f t="shared" si="214"/>
        <v>3000</v>
      </c>
      <c r="K353" s="8">
        <f t="shared" si="214"/>
        <v>0</v>
      </c>
      <c r="L353" s="8">
        <f>SUM(L348:L352)</f>
        <v>10500</v>
      </c>
      <c r="M353" s="8"/>
      <c r="N353" s="8">
        <f>M348-L353</f>
        <v>4000</v>
      </c>
      <c r="O353" s="100"/>
      <c r="P353" s="8">
        <f>SUM(P348:P352)</f>
        <v>0</v>
      </c>
    </row>
    <row r="354" spans="1:16" ht="15" thickTop="1" x14ac:dyDescent="0.3">
      <c r="A354" s="248">
        <f t="shared" ref="A354" si="215">A348+1</f>
        <v>59</v>
      </c>
      <c r="B354" s="283" t="s">
        <v>714</v>
      </c>
      <c r="C354" s="286" t="s">
        <v>80</v>
      </c>
      <c r="D354" s="256" t="s">
        <v>715</v>
      </c>
      <c r="E354" s="297" t="s">
        <v>574</v>
      </c>
      <c r="F354" s="3">
        <v>6918</v>
      </c>
      <c r="G354" s="29" t="s">
        <v>713</v>
      </c>
      <c r="H354" s="20">
        <v>500</v>
      </c>
      <c r="I354" s="20">
        <v>3000</v>
      </c>
      <c r="J354" s="20">
        <v>3000</v>
      </c>
      <c r="K354" s="20"/>
      <c r="L354" s="20">
        <f>SUM(H354:K354)</f>
        <v>6500</v>
      </c>
      <c r="M354" s="241">
        <v>14500</v>
      </c>
      <c r="N354" s="20"/>
      <c r="O354" s="86"/>
      <c r="P354" s="20">
        <v>1500</v>
      </c>
    </row>
    <row r="355" spans="1:16" x14ac:dyDescent="0.3">
      <c r="A355" s="241"/>
      <c r="B355" s="284"/>
      <c r="C355" s="287"/>
      <c r="D355" s="257"/>
      <c r="E355" s="287"/>
      <c r="F355" s="16"/>
      <c r="G355" s="4"/>
      <c r="H355" s="4"/>
      <c r="I355" s="4"/>
      <c r="J355" s="4"/>
      <c r="K355" s="4"/>
      <c r="L355" s="20">
        <f t="shared" ref="L355:L358" si="216">SUM(H355:K355)</f>
        <v>0</v>
      </c>
      <c r="M355" s="241"/>
      <c r="N355" s="4"/>
      <c r="O355" s="71"/>
      <c r="P355" s="4"/>
    </row>
    <row r="356" spans="1:16" x14ac:dyDescent="0.3">
      <c r="A356" s="241"/>
      <c r="B356" s="284"/>
      <c r="C356" s="287"/>
      <c r="D356" s="257"/>
      <c r="E356" s="287"/>
      <c r="F356" s="4"/>
      <c r="G356" s="4"/>
      <c r="H356" s="4"/>
      <c r="I356" s="4"/>
      <c r="J356" s="4"/>
      <c r="K356" s="4"/>
      <c r="L356" s="20">
        <f t="shared" si="216"/>
        <v>0</v>
      </c>
      <c r="M356" s="241"/>
      <c r="N356" s="4"/>
      <c r="O356" s="78"/>
      <c r="P356" s="4"/>
    </row>
    <row r="357" spans="1:16" x14ac:dyDescent="0.3">
      <c r="A357" s="241"/>
      <c r="B357" s="284"/>
      <c r="C357" s="287"/>
      <c r="D357" s="257"/>
      <c r="E357" s="287"/>
      <c r="F357" s="4"/>
      <c r="G357" s="4"/>
      <c r="H357" s="4"/>
      <c r="I357" s="4"/>
      <c r="J357" s="4"/>
      <c r="K357" s="4"/>
      <c r="L357" s="20">
        <f t="shared" si="216"/>
        <v>0</v>
      </c>
      <c r="M357" s="241"/>
      <c r="N357" s="4"/>
      <c r="O357" s="71"/>
      <c r="P357" s="4"/>
    </row>
    <row r="358" spans="1:16" ht="15" thickBot="1" x14ac:dyDescent="0.35">
      <c r="A358" s="241"/>
      <c r="B358" s="284"/>
      <c r="C358" s="287"/>
      <c r="D358" s="257"/>
      <c r="E358" s="287"/>
      <c r="F358" s="6"/>
      <c r="G358" s="6"/>
      <c r="H358" s="6"/>
      <c r="I358" s="6"/>
      <c r="J358" s="6"/>
      <c r="K358" s="6"/>
      <c r="L358" s="20">
        <f t="shared" si="216"/>
        <v>0</v>
      </c>
      <c r="M358" s="242"/>
      <c r="N358" s="6"/>
      <c r="O358" s="87"/>
      <c r="P358" s="6"/>
    </row>
    <row r="359" spans="1:16" ht="15.6" thickTop="1" thickBot="1" x14ac:dyDescent="0.35">
      <c r="A359" s="242"/>
      <c r="B359" s="285"/>
      <c r="C359" s="288"/>
      <c r="D359" s="258"/>
      <c r="E359" s="288"/>
      <c r="F359" s="243"/>
      <c r="G359" s="244"/>
      <c r="H359" s="8">
        <f t="shared" ref="H359:K359" si="217">SUM(H354:H358)</f>
        <v>500</v>
      </c>
      <c r="I359" s="8">
        <f t="shared" si="217"/>
        <v>3000</v>
      </c>
      <c r="J359" s="8">
        <f t="shared" si="217"/>
        <v>3000</v>
      </c>
      <c r="K359" s="8">
        <f t="shared" si="217"/>
        <v>0</v>
      </c>
      <c r="L359" s="8">
        <f>SUM(L354:L358)</f>
        <v>6500</v>
      </c>
      <c r="M359" s="8"/>
      <c r="N359" s="8">
        <f>M354-L359</f>
        <v>8000</v>
      </c>
      <c r="O359" s="100"/>
      <c r="P359" s="8">
        <f>SUM(P354:P358)</f>
        <v>1500</v>
      </c>
    </row>
    <row r="360" spans="1:16" ht="15" thickTop="1" x14ac:dyDescent="0.3">
      <c r="A360" s="248">
        <f t="shared" ref="A360" si="218">A354+1</f>
        <v>60</v>
      </c>
      <c r="B360" s="283" t="s">
        <v>716</v>
      </c>
      <c r="C360" s="286" t="s">
        <v>153</v>
      </c>
      <c r="D360" s="256" t="s">
        <v>717</v>
      </c>
      <c r="E360" s="297" t="s">
        <v>718</v>
      </c>
      <c r="F360" s="3">
        <v>6920</v>
      </c>
      <c r="G360" s="29" t="s">
        <v>575</v>
      </c>
      <c r="H360" s="20">
        <v>500</v>
      </c>
      <c r="I360" s="20"/>
      <c r="J360" s="20">
        <v>3000</v>
      </c>
      <c r="K360" s="20"/>
      <c r="L360" s="20">
        <f>SUM(H360:K360)</f>
        <v>3500</v>
      </c>
      <c r="M360" s="241">
        <v>14500</v>
      </c>
      <c r="N360" s="20"/>
      <c r="O360" s="86"/>
      <c r="P360" s="20">
        <v>1500</v>
      </c>
    </row>
    <row r="361" spans="1:16" x14ac:dyDescent="0.3">
      <c r="A361" s="241"/>
      <c r="B361" s="284"/>
      <c r="C361" s="287"/>
      <c r="D361" s="257"/>
      <c r="E361" s="287"/>
      <c r="F361" s="16">
        <v>6938</v>
      </c>
      <c r="G361" s="4" t="s">
        <v>533</v>
      </c>
      <c r="H361" s="4"/>
      <c r="I361" s="4">
        <v>3000</v>
      </c>
      <c r="J361" s="4"/>
      <c r="K361" s="4"/>
      <c r="L361" s="20">
        <f t="shared" ref="L361:L364" si="219">SUM(H361:K361)</f>
        <v>3000</v>
      </c>
      <c r="M361" s="241"/>
      <c r="N361" s="4"/>
      <c r="O361" s="71"/>
      <c r="P361" s="4"/>
    </row>
    <row r="362" spans="1:16" x14ac:dyDescent="0.3">
      <c r="A362" s="241"/>
      <c r="B362" s="284"/>
      <c r="C362" s="287"/>
      <c r="D362" s="257"/>
      <c r="E362" s="287"/>
      <c r="F362" s="4"/>
      <c r="G362" s="4"/>
      <c r="H362" s="4"/>
      <c r="I362" s="4"/>
      <c r="J362" s="4"/>
      <c r="K362" s="4"/>
      <c r="L362" s="20">
        <f t="shared" si="219"/>
        <v>0</v>
      </c>
      <c r="M362" s="241"/>
      <c r="N362" s="4"/>
      <c r="O362" s="78"/>
      <c r="P362" s="4"/>
    </row>
    <row r="363" spans="1:16" x14ac:dyDescent="0.3">
      <c r="A363" s="241"/>
      <c r="B363" s="284"/>
      <c r="C363" s="287"/>
      <c r="D363" s="257"/>
      <c r="E363" s="287"/>
      <c r="F363" s="4"/>
      <c r="G363" s="4"/>
      <c r="H363" s="4"/>
      <c r="I363" s="4"/>
      <c r="J363" s="4"/>
      <c r="K363" s="4"/>
      <c r="L363" s="20">
        <f t="shared" si="219"/>
        <v>0</v>
      </c>
      <c r="M363" s="241"/>
      <c r="N363" s="4"/>
      <c r="O363" s="71"/>
      <c r="P363" s="4"/>
    </row>
    <row r="364" spans="1:16" ht="15" thickBot="1" x14ac:dyDescent="0.35">
      <c r="A364" s="241"/>
      <c r="B364" s="284"/>
      <c r="C364" s="287"/>
      <c r="D364" s="257"/>
      <c r="E364" s="287"/>
      <c r="F364" s="6"/>
      <c r="G364" s="6"/>
      <c r="H364" s="6"/>
      <c r="I364" s="6"/>
      <c r="J364" s="6"/>
      <c r="K364" s="6"/>
      <c r="L364" s="20">
        <f t="shared" si="219"/>
        <v>0</v>
      </c>
      <c r="M364" s="242"/>
      <c r="N364" s="6"/>
      <c r="O364" s="87"/>
      <c r="P364" s="6"/>
    </row>
    <row r="365" spans="1:16" ht="15.6" thickTop="1" thickBot="1" x14ac:dyDescent="0.35">
      <c r="A365" s="242"/>
      <c r="B365" s="285"/>
      <c r="C365" s="288"/>
      <c r="D365" s="258"/>
      <c r="E365" s="288"/>
      <c r="F365" s="243"/>
      <c r="G365" s="244"/>
      <c r="H365" s="8">
        <f t="shared" ref="H365:K365" si="220">SUM(H360:H364)</f>
        <v>500</v>
      </c>
      <c r="I365" s="8">
        <f t="shared" si="220"/>
        <v>3000</v>
      </c>
      <c r="J365" s="8">
        <f t="shared" si="220"/>
        <v>3000</v>
      </c>
      <c r="K365" s="8">
        <f t="shared" si="220"/>
        <v>0</v>
      </c>
      <c r="L365" s="8">
        <f>SUM(L360:L364)</f>
        <v>6500</v>
      </c>
      <c r="M365" s="8"/>
      <c r="N365" s="8">
        <f>M360-L365</f>
        <v>8000</v>
      </c>
      <c r="O365" s="100"/>
      <c r="P365" s="8">
        <f>SUM(P360:P364)</f>
        <v>1500</v>
      </c>
    </row>
    <row r="366" spans="1:16" ht="15" thickTop="1" x14ac:dyDescent="0.3">
      <c r="A366" s="248">
        <f t="shared" ref="A366" si="221">A360+1</f>
        <v>61</v>
      </c>
      <c r="B366" s="283" t="s">
        <v>719</v>
      </c>
      <c r="C366" s="286" t="s">
        <v>181</v>
      </c>
      <c r="D366" s="256" t="s">
        <v>690</v>
      </c>
      <c r="E366" s="297" t="s">
        <v>718</v>
      </c>
      <c r="F366" s="3">
        <v>6921</v>
      </c>
      <c r="G366" s="29" t="s">
        <v>575</v>
      </c>
      <c r="H366" s="20">
        <v>500</v>
      </c>
      <c r="I366" s="20">
        <v>3000</v>
      </c>
      <c r="J366" s="20">
        <v>3000</v>
      </c>
      <c r="K366" s="20"/>
      <c r="L366" s="20">
        <f>SUM(H366:K366)</f>
        <v>6500</v>
      </c>
      <c r="M366" s="241">
        <v>14500</v>
      </c>
      <c r="N366" s="20"/>
      <c r="O366" s="86"/>
      <c r="P366" s="20">
        <v>1500</v>
      </c>
    </row>
    <row r="367" spans="1:16" x14ac:dyDescent="0.3">
      <c r="A367" s="241"/>
      <c r="B367" s="284"/>
      <c r="C367" s="287"/>
      <c r="D367" s="257"/>
      <c r="E367" s="287"/>
      <c r="F367" s="16"/>
      <c r="G367" s="4"/>
      <c r="H367" s="4"/>
      <c r="I367" s="4"/>
      <c r="J367" s="4"/>
      <c r="K367" s="4"/>
      <c r="L367" s="20">
        <f t="shared" ref="L367:L370" si="222">SUM(H367:K367)</f>
        <v>0</v>
      </c>
      <c r="M367" s="241"/>
      <c r="N367" s="4"/>
      <c r="O367" s="71"/>
      <c r="P367" s="4"/>
    </row>
    <row r="368" spans="1:16" x14ac:dyDescent="0.3">
      <c r="A368" s="241"/>
      <c r="B368" s="284"/>
      <c r="C368" s="287"/>
      <c r="D368" s="257"/>
      <c r="E368" s="287"/>
      <c r="F368" s="4"/>
      <c r="G368" s="4"/>
      <c r="H368" s="4"/>
      <c r="I368" s="4"/>
      <c r="J368" s="4"/>
      <c r="K368" s="4"/>
      <c r="L368" s="20">
        <f t="shared" si="222"/>
        <v>0</v>
      </c>
      <c r="M368" s="241"/>
      <c r="N368" s="4"/>
      <c r="O368" s="78"/>
      <c r="P368" s="4"/>
    </row>
    <row r="369" spans="1:16" x14ac:dyDescent="0.3">
      <c r="A369" s="241"/>
      <c r="B369" s="284"/>
      <c r="C369" s="287"/>
      <c r="D369" s="257"/>
      <c r="E369" s="287"/>
      <c r="F369" s="4"/>
      <c r="G369" s="4"/>
      <c r="H369" s="4"/>
      <c r="I369" s="4"/>
      <c r="J369" s="4"/>
      <c r="K369" s="4"/>
      <c r="L369" s="20">
        <f t="shared" si="222"/>
        <v>0</v>
      </c>
      <c r="M369" s="241"/>
      <c r="N369" s="4"/>
      <c r="O369" s="71"/>
      <c r="P369" s="4"/>
    </row>
    <row r="370" spans="1:16" ht="15" thickBot="1" x14ac:dyDescent="0.35">
      <c r="A370" s="241"/>
      <c r="B370" s="284"/>
      <c r="C370" s="287"/>
      <c r="D370" s="257"/>
      <c r="E370" s="287"/>
      <c r="F370" s="6"/>
      <c r="G370" s="6"/>
      <c r="H370" s="6"/>
      <c r="I370" s="6"/>
      <c r="J370" s="6"/>
      <c r="K370" s="6"/>
      <c r="L370" s="20">
        <f t="shared" si="222"/>
        <v>0</v>
      </c>
      <c r="M370" s="242"/>
      <c r="N370" s="6"/>
      <c r="O370" s="87"/>
      <c r="P370" s="6"/>
    </row>
    <row r="371" spans="1:16" ht="15.6" thickTop="1" thickBot="1" x14ac:dyDescent="0.35">
      <c r="A371" s="242"/>
      <c r="B371" s="285"/>
      <c r="C371" s="288"/>
      <c r="D371" s="258"/>
      <c r="E371" s="288"/>
      <c r="F371" s="243"/>
      <c r="G371" s="244"/>
      <c r="H371" s="8">
        <f t="shared" ref="H371:K371" si="223">SUM(H366:H370)</f>
        <v>500</v>
      </c>
      <c r="I371" s="8">
        <f t="shared" si="223"/>
        <v>3000</v>
      </c>
      <c r="J371" s="8">
        <f t="shared" si="223"/>
        <v>3000</v>
      </c>
      <c r="K371" s="8">
        <f t="shared" si="223"/>
        <v>0</v>
      </c>
      <c r="L371" s="8">
        <f>SUM(L366:L370)</f>
        <v>6500</v>
      </c>
      <c r="M371" s="8"/>
      <c r="N371" s="8">
        <f>M366-L371</f>
        <v>8000</v>
      </c>
      <c r="O371" s="100"/>
      <c r="P371" s="8">
        <f>SUM(P366:P370)</f>
        <v>1500</v>
      </c>
    </row>
    <row r="372" spans="1:16" ht="15" thickTop="1" x14ac:dyDescent="0.3">
      <c r="A372" s="248">
        <f t="shared" ref="A372" si="224">A366+1</f>
        <v>62</v>
      </c>
      <c r="B372" s="283" t="s">
        <v>720</v>
      </c>
      <c r="C372" s="286" t="s">
        <v>153</v>
      </c>
      <c r="D372" s="256" t="s">
        <v>721</v>
      </c>
      <c r="E372" s="297" t="s">
        <v>722</v>
      </c>
      <c r="F372" s="3">
        <v>6935</v>
      </c>
      <c r="G372" s="29" t="s">
        <v>529</v>
      </c>
      <c r="H372" s="20">
        <v>0</v>
      </c>
      <c r="I372" s="20">
        <v>7000</v>
      </c>
      <c r="J372" s="20">
        <v>3000</v>
      </c>
      <c r="K372" s="20"/>
      <c r="L372" s="20">
        <f>SUM(H372:K372)</f>
        <v>10000</v>
      </c>
      <c r="M372" s="241">
        <v>10000</v>
      </c>
      <c r="N372" s="20"/>
      <c r="O372" s="86" t="s">
        <v>723</v>
      </c>
      <c r="P372" s="20"/>
    </row>
    <row r="373" spans="1:16" x14ac:dyDescent="0.3">
      <c r="A373" s="241"/>
      <c r="B373" s="284"/>
      <c r="C373" s="287"/>
      <c r="D373" s="257"/>
      <c r="E373" s="287"/>
      <c r="F373" s="16"/>
      <c r="G373" s="4"/>
      <c r="H373" s="4"/>
      <c r="I373" s="4"/>
      <c r="J373" s="4"/>
      <c r="K373" s="4"/>
      <c r="L373" s="20">
        <f t="shared" ref="L373:L376" si="225">SUM(H373:K373)</f>
        <v>0</v>
      </c>
      <c r="M373" s="241"/>
      <c r="N373" s="4"/>
      <c r="O373" s="71" t="s">
        <v>724</v>
      </c>
      <c r="P373" s="4"/>
    </row>
    <row r="374" spans="1:16" x14ac:dyDescent="0.3">
      <c r="A374" s="241"/>
      <c r="B374" s="284"/>
      <c r="C374" s="287"/>
      <c r="D374" s="257"/>
      <c r="E374" s="287"/>
      <c r="F374" s="4"/>
      <c r="G374" s="4"/>
      <c r="H374" s="4"/>
      <c r="I374" s="4"/>
      <c r="J374" s="4"/>
      <c r="K374" s="4"/>
      <c r="L374" s="20">
        <f t="shared" si="225"/>
        <v>0</v>
      </c>
      <c r="M374" s="241"/>
      <c r="N374" s="4"/>
      <c r="O374" s="78"/>
      <c r="P374" s="4"/>
    </row>
    <row r="375" spans="1:16" x14ac:dyDescent="0.3">
      <c r="A375" s="241"/>
      <c r="B375" s="284"/>
      <c r="C375" s="287"/>
      <c r="D375" s="257"/>
      <c r="E375" s="287"/>
      <c r="F375" s="4"/>
      <c r="G375" s="4"/>
      <c r="H375" s="4"/>
      <c r="I375" s="4"/>
      <c r="J375" s="4"/>
      <c r="K375" s="4"/>
      <c r="L375" s="20">
        <f t="shared" si="225"/>
        <v>0</v>
      </c>
      <c r="M375" s="241"/>
      <c r="N375" s="4"/>
      <c r="O375" s="71"/>
      <c r="P375" s="4"/>
    </row>
    <row r="376" spans="1:16" ht="15" thickBot="1" x14ac:dyDescent="0.35">
      <c r="A376" s="241"/>
      <c r="B376" s="284"/>
      <c r="C376" s="287"/>
      <c r="D376" s="257"/>
      <c r="E376" s="287"/>
      <c r="F376" s="6"/>
      <c r="G376" s="6"/>
      <c r="H376" s="6"/>
      <c r="I376" s="6"/>
      <c r="J376" s="6"/>
      <c r="K376" s="6"/>
      <c r="L376" s="20">
        <f t="shared" si="225"/>
        <v>0</v>
      </c>
      <c r="M376" s="242"/>
      <c r="N376" s="6"/>
      <c r="O376" s="87"/>
      <c r="P376" s="6"/>
    </row>
    <row r="377" spans="1:16" ht="15.6" thickTop="1" thickBot="1" x14ac:dyDescent="0.35">
      <c r="A377" s="242"/>
      <c r="B377" s="285"/>
      <c r="C377" s="288"/>
      <c r="D377" s="258"/>
      <c r="E377" s="288"/>
      <c r="F377" s="243"/>
      <c r="G377" s="244"/>
      <c r="H377" s="8">
        <f t="shared" ref="H377:K377" si="226">SUM(H372:H376)</f>
        <v>0</v>
      </c>
      <c r="I377" s="8">
        <f t="shared" si="226"/>
        <v>7000</v>
      </c>
      <c r="J377" s="8">
        <f t="shared" si="226"/>
        <v>3000</v>
      </c>
      <c r="K377" s="8">
        <f t="shared" si="226"/>
        <v>0</v>
      </c>
      <c r="L377" s="8">
        <f>SUM(L372:L376)</f>
        <v>10000</v>
      </c>
      <c r="M377" s="8"/>
      <c r="N377" s="8">
        <f>M372-L377</f>
        <v>0</v>
      </c>
      <c r="O377" s="100"/>
      <c r="P377" s="8">
        <f>SUM(P372:P376)</f>
        <v>0</v>
      </c>
    </row>
    <row r="378" spans="1:16" ht="15" thickTop="1" x14ac:dyDescent="0.3">
      <c r="A378" s="260">
        <f t="shared" ref="A378" si="227">A372+1</f>
        <v>63</v>
      </c>
      <c r="B378" s="261" t="s">
        <v>725</v>
      </c>
      <c r="C378" s="264" t="s">
        <v>726</v>
      </c>
      <c r="D378" s="267" t="s">
        <v>727</v>
      </c>
      <c r="E378" s="269" t="s">
        <v>565</v>
      </c>
      <c r="F378" s="39">
        <v>9641</v>
      </c>
      <c r="G378" s="47" t="s">
        <v>533</v>
      </c>
      <c r="H378" s="34">
        <v>500</v>
      </c>
      <c r="I378" s="34">
        <v>11000</v>
      </c>
      <c r="J378" s="34">
        <v>3000</v>
      </c>
      <c r="K378" s="34"/>
      <c r="L378" s="34">
        <f>SUM(H378:K378)</f>
        <v>14500</v>
      </c>
      <c r="M378" s="249">
        <v>14500</v>
      </c>
      <c r="N378" s="34"/>
      <c r="O378" s="94"/>
      <c r="P378" s="34">
        <v>1500</v>
      </c>
    </row>
    <row r="379" spans="1:16" x14ac:dyDescent="0.3">
      <c r="A379" s="249"/>
      <c r="B379" s="262"/>
      <c r="C379" s="265"/>
      <c r="D379" s="267"/>
      <c r="E379" s="265"/>
      <c r="F379" s="31"/>
      <c r="G379" s="36"/>
      <c r="H379" s="36"/>
      <c r="I379" s="36"/>
      <c r="J379" s="36"/>
      <c r="K379" s="36"/>
      <c r="L379" s="34">
        <f t="shared" ref="L379:L382" si="228">SUM(H379:K379)</f>
        <v>0</v>
      </c>
      <c r="M379" s="249"/>
      <c r="N379" s="36"/>
      <c r="O379" s="73" t="s">
        <v>240</v>
      </c>
      <c r="P379" s="36"/>
    </row>
    <row r="380" spans="1:16" x14ac:dyDescent="0.3">
      <c r="A380" s="249"/>
      <c r="B380" s="262"/>
      <c r="C380" s="265"/>
      <c r="D380" s="267"/>
      <c r="E380" s="265"/>
      <c r="F380" s="36"/>
      <c r="G380" s="36"/>
      <c r="H380" s="36"/>
      <c r="I380" s="36"/>
      <c r="J380" s="36"/>
      <c r="K380" s="36"/>
      <c r="L380" s="34">
        <f t="shared" si="228"/>
        <v>0</v>
      </c>
      <c r="M380" s="249"/>
      <c r="N380" s="36"/>
      <c r="O380" s="81"/>
      <c r="P380" s="36"/>
    </row>
    <row r="381" spans="1:16" x14ac:dyDescent="0.3">
      <c r="A381" s="249"/>
      <c r="B381" s="262"/>
      <c r="C381" s="265"/>
      <c r="D381" s="267"/>
      <c r="E381" s="265"/>
      <c r="F381" s="36"/>
      <c r="G381" s="36"/>
      <c r="H381" s="36"/>
      <c r="I381" s="36"/>
      <c r="J381" s="36"/>
      <c r="K381" s="36"/>
      <c r="L381" s="34">
        <f t="shared" si="228"/>
        <v>0</v>
      </c>
      <c r="M381" s="249"/>
      <c r="N381" s="36"/>
      <c r="O381" s="73"/>
      <c r="P381" s="36"/>
    </row>
    <row r="382" spans="1:16" ht="15" thickBot="1" x14ac:dyDescent="0.35">
      <c r="A382" s="249"/>
      <c r="B382" s="262"/>
      <c r="C382" s="265"/>
      <c r="D382" s="267"/>
      <c r="E382" s="265"/>
      <c r="F382" s="41"/>
      <c r="G382" s="41"/>
      <c r="H382" s="41"/>
      <c r="I382" s="41"/>
      <c r="J382" s="41"/>
      <c r="K382" s="41"/>
      <c r="L382" s="34">
        <f t="shared" si="228"/>
        <v>0</v>
      </c>
      <c r="M382" s="250"/>
      <c r="N382" s="41"/>
      <c r="O382" s="93"/>
      <c r="P382" s="41"/>
    </row>
    <row r="383" spans="1:16" ht="15.6" thickTop="1" thickBot="1" x14ac:dyDescent="0.35">
      <c r="A383" s="250"/>
      <c r="B383" s="263"/>
      <c r="C383" s="266"/>
      <c r="D383" s="268"/>
      <c r="E383" s="266"/>
      <c r="F383" s="251"/>
      <c r="G383" s="252"/>
      <c r="H383" s="14">
        <f t="shared" ref="H383:K383" si="229">SUM(H378:H382)</f>
        <v>500</v>
      </c>
      <c r="I383" s="14">
        <f t="shared" si="229"/>
        <v>11000</v>
      </c>
      <c r="J383" s="14">
        <f t="shared" si="229"/>
        <v>3000</v>
      </c>
      <c r="K383" s="14">
        <f t="shared" si="229"/>
        <v>0</v>
      </c>
      <c r="L383" s="14">
        <f>SUM(L378:L382)</f>
        <v>14500</v>
      </c>
      <c r="M383" s="14"/>
      <c r="N383" s="14">
        <f>M378-L383</f>
        <v>0</v>
      </c>
      <c r="O383" s="111"/>
      <c r="P383" s="14">
        <f>SUM(P378:P382)</f>
        <v>1500</v>
      </c>
    </row>
    <row r="384" spans="1:16" ht="15" thickTop="1" x14ac:dyDescent="0.3">
      <c r="A384" s="248">
        <f t="shared" ref="A384" si="230">A378+1</f>
        <v>64</v>
      </c>
      <c r="B384" s="328" t="s">
        <v>728</v>
      </c>
      <c r="C384" s="286" t="s">
        <v>729</v>
      </c>
      <c r="D384" s="286" t="s">
        <v>730</v>
      </c>
      <c r="E384" s="292" t="s">
        <v>647</v>
      </c>
      <c r="F384" s="3">
        <v>6946</v>
      </c>
      <c r="G384" s="29" t="s">
        <v>533</v>
      </c>
      <c r="H384" s="20">
        <v>500</v>
      </c>
      <c r="I384" s="20">
        <v>4500</v>
      </c>
      <c r="J384" s="20">
        <v>3000</v>
      </c>
      <c r="K384" s="20"/>
      <c r="L384" s="20">
        <f>SUM(H384:K384)</f>
        <v>8000</v>
      </c>
      <c r="M384" s="241">
        <v>14500</v>
      </c>
      <c r="N384" s="20"/>
      <c r="O384" s="86" t="s">
        <v>295</v>
      </c>
      <c r="P384" s="20"/>
    </row>
    <row r="385" spans="1:16" x14ac:dyDescent="0.3">
      <c r="A385" s="241"/>
      <c r="B385" s="287"/>
      <c r="C385" s="287"/>
      <c r="D385" s="287"/>
      <c r="E385" s="287"/>
      <c r="F385" s="16"/>
      <c r="G385" s="4"/>
      <c r="H385" s="4"/>
      <c r="I385" s="4"/>
      <c r="J385" s="4"/>
      <c r="K385" s="4"/>
      <c r="L385" s="20">
        <f t="shared" ref="L385:L388" si="231">SUM(H385:K385)</f>
        <v>0</v>
      </c>
      <c r="M385" s="241"/>
      <c r="N385" s="4"/>
      <c r="O385" s="71"/>
      <c r="P385" s="4"/>
    </row>
    <row r="386" spans="1:16" x14ac:dyDescent="0.3">
      <c r="A386" s="241"/>
      <c r="B386" s="287"/>
      <c r="C386" s="287"/>
      <c r="D386" s="287"/>
      <c r="E386" s="287"/>
      <c r="F386" s="4"/>
      <c r="G386" s="4"/>
      <c r="H386" s="4"/>
      <c r="I386" s="4"/>
      <c r="J386" s="4"/>
      <c r="K386" s="4"/>
      <c r="L386" s="20">
        <f t="shared" si="231"/>
        <v>0</v>
      </c>
      <c r="M386" s="241"/>
      <c r="N386" s="4"/>
      <c r="O386" s="78"/>
      <c r="P386" s="4"/>
    </row>
    <row r="387" spans="1:16" x14ac:dyDescent="0.3">
      <c r="A387" s="241"/>
      <c r="B387" s="287"/>
      <c r="C387" s="287"/>
      <c r="D387" s="287"/>
      <c r="E387" s="287"/>
      <c r="F387" s="4"/>
      <c r="G387" s="4"/>
      <c r="H387" s="4"/>
      <c r="I387" s="4"/>
      <c r="J387" s="4"/>
      <c r="K387" s="4"/>
      <c r="L387" s="20">
        <f t="shared" si="231"/>
        <v>0</v>
      </c>
      <c r="M387" s="241"/>
      <c r="N387" s="4"/>
      <c r="O387" s="71"/>
      <c r="P387" s="4"/>
    </row>
    <row r="388" spans="1:16" ht="15" thickBot="1" x14ac:dyDescent="0.35">
      <c r="A388" s="241"/>
      <c r="B388" s="287"/>
      <c r="C388" s="287"/>
      <c r="D388" s="287"/>
      <c r="E388" s="287"/>
      <c r="F388" s="6"/>
      <c r="G388" s="6"/>
      <c r="H388" s="6"/>
      <c r="I388" s="6"/>
      <c r="J388" s="6"/>
      <c r="K388" s="6"/>
      <c r="L388" s="20">
        <f t="shared" si="231"/>
        <v>0</v>
      </c>
      <c r="M388" s="242"/>
      <c r="N388" s="6"/>
      <c r="O388" s="87"/>
      <c r="P388" s="6"/>
    </row>
    <row r="389" spans="1:16" ht="15.6" thickTop="1" thickBot="1" x14ac:dyDescent="0.35">
      <c r="A389" s="242"/>
      <c r="B389" s="288"/>
      <c r="C389" s="288"/>
      <c r="D389" s="288"/>
      <c r="E389" s="288"/>
      <c r="F389" s="243"/>
      <c r="G389" s="244"/>
      <c r="H389" s="8">
        <f t="shared" ref="H389:K389" si="232">SUM(H384:H388)</f>
        <v>500</v>
      </c>
      <c r="I389" s="8">
        <f t="shared" si="232"/>
        <v>4500</v>
      </c>
      <c r="J389" s="8">
        <f t="shared" si="232"/>
        <v>3000</v>
      </c>
      <c r="K389" s="8">
        <f t="shared" si="232"/>
        <v>0</v>
      </c>
      <c r="L389" s="8">
        <f>SUM(L384:L388)</f>
        <v>8000</v>
      </c>
      <c r="M389" s="8"/>
      <c r="N389" s="8">
        <f>M384-L389</f>
        <v>6500</v>
      </c>
      <c r="O389" s="100"/>
      <c r="P389" s="8">
        <f>SUM(P384:P388)</f>
        <v>0</v>
      </c>
    </row>
    <row r="390" spans="1:16" ht="15" thickTop="1" x14ac:dyDescent="0.3">
      <c r="A390" s="260">
        <f t="shared" ref="A390" si="233">A384+1</f>
        <v>65</v>
      </c>
      <c r="B390" s="279" t="s">
        <v>734</v>
      </c>
      <c r="C390" s="280" t="s">
        <v>735</v>
      </c>
      <c r="D390" s="280" t="s">
        <v>736</v>
      </c>
      <c r="E390" s="281" t="s">
        <v>737</v>
      </c>
      <c r="F390" s="39">
        <v>9648</v>
      </c>
      <c r="G390" s="47" t="s">
        <v>530</v>
      </c>
      <c r="H390" s="34">
        <v>500</v>
      </c>
      <c r="I390" s="34">
        <v>11000</v>
      </c>
      <c r="J390" s="34">
        <v>3000</v>
      </c>
      <c r="K390" s="34"/>
      <c r="L390" s="34">
        <f>SUM(H390:K390)</f>
        <v>14500</v>
      </c>
      <c r="M390" s="249">
        <v>14500</v>
      </c>
      <c r="N390" s="34"/>
      <c r="O390" s="94"/>
      <c r="P390" s="34">
        <v>1500</v>
      </c>
    </row>
    <row r="391" spans="1:16" x14ac:dyDescent="0.3">
      <c r="A391" s="249"/>
      <c r="B391" s="277"/>
      <c r="C391" s="267"/>
      <c r="D391" s="267"/>
      <c r="E391" s="267"/>
      <c r="F391" s="31"/>
      <c r="G391" s="36"/>
      <c r="H391" s="36"/>
      <c r="I391" s="36"/>
      <c r="J391" s="36"/>
      <c r="K391" s="36"/>
      <c r="L391" s="34">
        <f t="shared" ref="L391:L394" si="234">SUM(H391:K391)</f>
        <v>0</v>
      </c>
      <c r="M391" s="249"/>
      <c r="N391" s="36"/>
      <c r="O391" s="73"/>
      <c r="P391" s="36"/>
    </row>
    <row r="392" spans="1:16" x14ac:dyDescent="0.3">
      <c r="A392" s="249"/>
      <c r="B392" s="277"/>
      <c r="C392" s="267"/>
      <c r="D392" s="267"/>
      <c r="E392" s="267"/>
      <c r="F392" s="36"/>
      <c r="G392" s="36"/>
      <c r="H392" s="36"/>
      <c r="I392" s="36"/>
      <c r="J392" s="36"/>
      <c r="K392" s="36"/>
      <c r="L392" s="34">
        <f t="shared" si="234"/>
        <v>0</v>
      </c>
      <c r="M392" s="249"/>
      <c r="N392" s="36"/>
      <c r="O392" s="81"/>
      <c r="P392" s="36"/>
    </row>
    <row r="393" spans="1:16" x14ac:dyDescent="0.3">
      <c r="A393" s="249"/>
      <c r="B393" s="277"/>
      <c r="C393" s="267"/>
      <c r="D393" s="267"/>
      <c r="E393" s="267"/>
      <c r="F393" s="36"/>
      <c r="G393" s="36"/>
      <c r="H393" s="36"/>
      <c r="I393" s="36"/>
      <c r="J393" s="36"/>
      <c r="K393" s="36"/>
      <c r="L393" s="34">
        <f t="shared" si="234"/>
        <v>0</v>
      </c>
      <c r="M393" s="249"/>
      <c r="N393" s="36"/>
      <c r="O393" s="73"/>
      <c r="P393" s="36"/>
    </row>
    <row r="394" spans="1:16" ht="15" thickBot="1" x14ac:dyDescent="0.35">
      <c r="A394" s="249"/>
      <c r="B394" s="277"/>
      <c r="C394" s="267"/>
      <c r="D394" s="267"/>
      <c r="E394" s="267"/>
      <c r="F394" s="41"/>
      <c r="G394" s="41"/>
      <c r="H394" s="41"/>
      <c r="I394" s="41"/>
      <c r="J394" s="41"/>
      <c r="K394" s="41"/>
      <c r="L394" s="34">
        <f t="shared" si="234"/>
        <v>0</v>
      </c>
      <c r="M394" s="250"/>
      <c r="N394" s="41"/>
      <c r="O394" s="93"/>
      <c r="P394" s="41"/>
    </row>
    <row r="395" spans="1:16" ht="15.6" thickTop="1" thickBot="1" x14ac:dyDescent="0.35">
      <c r="A395" s="250"/>
      <c r="B395" s="278"/>
      <c r="C395" s="268"/>
      <c r="D395" s="268"/>
      <c r="E395" s="268"/>
      <c r="F395" s="251"/>
      <c r="G395" s="252"/>
      <c r="H395" s="14">
        <f t="shared" ref="H395:K395" si="235">SUM(H390:H394)</f>
        <v>500</v>
      </c>
      <c r="I395" s="14">
        <f t="shared" si="235"/>
        <v>11000</v>
      </c>
      <c r="J395" s="14">
        <f t="shared" si="235"/>
        <v>3000</v>
      </c>
      <c r="K395" s="14">
        <f t="shared" si="235"/>
        <v>0</v>
      </c>
      <c r="L395" s="14">
        <f>SUM(L390:L394)</f>
        <v>14500</v>
      </c>
      <c r="M395" s="14"/>
      <c r="N395" s="14">
        <f>M390-L395</f>
        <v>0</v>
      </c>
      <c r="O395" s="111"/>
      <c r="P395" s="14">
        <f>SUM(P390:P394)</f>
        <v>1500</v>
      </c>
    </row>
    <row r="396" spans="1:16" ht="15.75" customHeight="1" thickTop="1" x14ac:dyDescent="0.3">
      <c r="A396" s="260">
        <f t="shared" ref="A396" si="236">A390+1</f>
        <v>66</v>
      </c>
      <c r="B396" s="261" t="s">
        <v>740</v>
      </c>
      <c r="C396" s="264" t="s">
        <v>102</v>
      </c>
      <c r="D396" s="264" t="s">
        <v>741</v>
      </c>
      <c r="E396" s="296" t="s">
        <v>742</v>
      </c>
      <c r="F396" s="39">
        <v>6957</v>
      </c>
      <c r="G396" s="47" t="s">
        <v>568</v>
      </c>
      <c r="H396" s="34">
        <v>500</v>
      </c>
      <c r="I396" s="34">
        <v>11000</v>
      </c>
      <c r="J396" s="34">
        <v>3000</v>
      </c>
      <c r="K396" s="34"/>
      <c r="L396" s="34">
        <f>SUM(H396:K396)</f>
        <v>14500</v>
      </c>
      <c r="M396" s="249">
        <v>14500</v>
      </c>
      <c r="N396" s="34"/>
      <c r="O396" s="94"/>
      <c r="P396" s="34">
        <v>1500</v>
      </c>
    </row>
    <row r="397" spans="1:16" x14ac:dyDescent="0.3">
      <c r="A397" s="249"/>
      <c r="B397" s="262"/>
      <c r="C397" s="265"/>
      <c r="D397" s="265"/>
      <c r="E397" s="265"/>
      <c r="F397" s="31"/>
      <c r="G397" s="36"/>
      <c r="H397" s="36"/>
      <c r="I397" s="36"/>
      <c r="J397" s="36"/>
      <c r="K397" s="36"/>
      <c r="L397" s="34">
        <f t="shared" ref="L397:L400" si="237">SUM(H397:K397)</f>
        <v>0</v>
      </c>
      <c r="M397" s="249"/>
      <c r="N397" s="36"/>
      <c r="O397" s="73"/>
      <c r="P397" s="36"/>
    </row>
    <row r="398" spans="1:16" x14ac:dyDescent="0.3">
      <c r="A398" s="249"/>
      <c r="B398" s="262"/>
      <c r="C398" s="265"/>
      <c r="D398" s="265"/>
      <c r="E398" s="265"/>
      <c r="F398" s="36"/>
      <c r="G398" s="36"/>
      <c r="H398" s="36"/>
      <c r="I398" s="36"/>
      <c r="J398" s="36"/>
      <c r="K398" s="36"/>
      <c r="L398" s="34">
        <f t="shared" si="237"/>
        <v>0</v>
      </c>
      <c r="M398" s="249"/>
      <c r="N398" s="36"/>
      <c r="O398" s="81"/>
      <c r="P398" s="36"/>
    </row>
    <row r="399" spans="1:16" x14ac:dyDescent="0.3">
      <c r="A399" s="249"/>
      <c r="B399" s="262"/>
      <c r="C399" s="265"/>
      <c r="D399" s="265"/>
      <c r="E399" s="265"/>
      <c r="F399" s="36"/>
      <c r="G399" s="36"/>
      <c r="H399" s="36"/>
      <c r="I399" s="36"/>
      <c r="J399" s="36"/>
      <c r="K399" s="36"/>
      <c r="L399" s="34">
        <f t="shared" si="237"/>
        <v>0</v>
      </c>
      <c r="M399" s="249"/>
      <c r="N399" s="36"/>
      <c r="O399" s="73"/>
      <c r="P399" s="36"/>
    </row>
    <row r="400" spans="1:16" ht="15" thickBot="1" x14ac:dyDescent="0.35">
      <c r="A400" s="249"/>
      <c r="B400" s="262"/>
      <c r="C400" s="265"/>
      <c r="D400" s="265"/>
      <c r="E400" s="265"/>
      <c r="F400" s="41"/>
      <c r="G400" s="41"/>
      <c r="H400" s="41"/>
      <c r="I400" s="41"/>
      <c r="J400" s="41"/>
      <c r="K400" s="41"/>
      <c r="L400" s="34">
        <f t="shared" si="237"/>
        <v>0</v>
      </c>
      <c r="M400" s="250"/>
      <c r="N400" s="41"/>
      <c r="O400" s="93"/>
      <c r="P400" s="41"/>
    </row>
    <row r="401" spans="1:16" ht="15.6" thickTop="1" thickBot="1" x14ac:dyDescent="0.35">
      <c r="A401" s="250"/>
      <c r="B401" s="263"/>
      <c r="C401" s="266"/>
      <c r="D401" s="266"/>
      <c r="E401" s="266"/>
      <c r="F401" s="251"/>
      <c r="G401" s="252"/>
      <c r="H401" s="14">
        <f t="shared" ref="H401:K401" si="238">SUM(H396:H400)</f>
        <v>500</v>
      </c>
      <c r="I401" s="14">
        <f t="shared" si="238"/>
        <v>11000</v>
      </c>
      <c r="J401" s="14">
        <f t="shared" si="238"/>
        <v>3000</v>
      </c>
      <c r="K401" s="14">
        <f t="shared" si="238"/>
        <v>0</v>
      </c>
      <c r="L401" s="14">
        <f>SUM(L396:L400)</f>
        <v>14500</v>
      </c>
      <c r="M401" s="14"/>
      <c r="N401" s="14">
        <f>M396-L401</f>
        <v>0</v>
      </c>
      <c r="O401" s="111"/>
      <c r="P401" s="14">
        <f>SUM(P396:P400)</f>
        <v>1500</v>
      </c>
    </row>
    <row r="402" spans="1:16" ht="15" thickTop="1" x14ac:dyDescent="0.3">
      <c r="A402" s="260">
        <f t="shared" ref="A402" si="239">A396+1</f>
        <v>67</v>
      </c>
      <c r="B402" s="261" t="s">
        <v>745</v>
      </c>
      <c r="C402" s="264" t="s">
        <v>102</v>
      </c>
      <c r="D402" s="267" t="s">
        <v>744</v>
      </c>
      <c r="E402" s="281" t="s">
        <v>574</v>
      </c>
      <c r="F402" s="39">
        <v>6958</v>
      </c>
      <c r="G402" s="47" t="s">
        <v>568</v>
      </c>
      <c r="H402" s="34">
        <v>500</v>
      </c>
      <c r="I402" s="34">
        <v>11000</v>
      </c>
      <c r="J402" s="34">
        <v>3000</v>
      </c>
      <c r="K402" s="34"/>
      <c r="L402" s="34">
        <f>SUM(H402:K402)</f>
        <v>14500</v>
      </c>
      <c r="M402" s="249">
        <v>14500</v>
      </c>
      <c r="N402" s="34"/>
      <c r="O402" s="94" t="s">
        <v>295</v>
      </c>
      <c r="P402" s="34"/>
    </row>
    <row r="403" spans="1:16" x14ac:dyDescent="0.3">
      <c r="A403" s="249"/>
      <c r="B403" s="262"/>
      <c r="C403" s="265"/>
      <c r="D403" s="267"/>
      <c r="E403" s="267"/>
      <c r="F403" s="31"/>
      <c r="G403" s="36"/>
      <c r="H403" s="36"/>
      <c r="I403" s="36"/>
      <c r="J403" s="36"/>
      <c r="K403" s="36"/>
      <c r="L403" s="34">
        <f t="shared" ref="L403:L406" si="240">SUM(H403:K403)</f>
        <v>0</v>
      </c>
      <c r="M403" s="249"/>
      <c r="N403" s="36"/>
      <c r="O403" s="73"/>
      <c r="P403" s="36"/>
    </row>
    <row r="404" spans="1:16" x14ac:dyDescent="0.3">
      <c r="A404" s="249"/>
      <c r="B404" s="262"/>
      <c r="C404" s="265"/>
      <c r="D404" s="267"/>
      <c r="E404" s="267"/>
      <c r="F404" s="36"/>
      <c r="G404" s="36"/>
      <c r="H404" s="36"/>
      <c r="I404" s="36"/>
      <c r="J404" s="36"/>
      <c r="K404" s="36"/>
      <c r="L404" s="34">
        <f t="shared" si="240"/>
        <v>0</v>
      </c>
      <c r="M404" s="249"/>
      <c r="N404" s="36"/>
      <c r="O404" s="81"/>
      <c r="P404" s="36"/>
    </row>
    <row r="405" spans="1:16" x14ac:dyDescent="0.3">
      <c r="A405" s="249"/>
      <c r="B405" s="262"/>
      <c r="C405" s="265"/>
      <c r="D405" s="267"/>
      <c r="E405" s="267"/>
      <c r="F405" s="36"/>
      <c r="G405" s="36"/>
      <c r="H405" s="36"/>
      <c r="I405" s="36"/>
      <c r="J405" s="36"/>
      <c r="K405" s="36"/>
      <c r="L405" s="34">
        <f t="shared" si="240"/>
        <v>0</v>
      </c>
      <c r="M405" s="249"/>
      <c r="N405" s="36"/>
      <c r="O405" s="73"/>
      <c r="P405" s="36"/>
    </row>
    <row r="406" spans="1:16" ht="15" thickBot="1" x14ac:dyDescent="0.35">
      <c r="A406" s="249"/>
      <c r="B406" s="262"/>
      <c r="C406" s="265"/>
      <c r="D406" s="267"/>
      <c r="E406" s="267"/>
      <c r="F406" s="41"/>
      <c r="G406" s="41"/>
      <c r="H406" s="41"/>
      <c r="I406" s="41"/>
      <c r="J406" s="41"/>
      <c r="K406" s="41"/>
      <c r="L406" s="34">
        <f t="shared" si="240"/>
        <v>0</v>
      </c>
      <c r="M406" s="250"/>
      <c r="N406" s="41"/>
      <c r="O406" s="93"/>
      <c r="P406" s="41"/>
    </row>
    <row r="407" spans="1:16" ht="15.6" thickTop="1" thickBot="1" x14ac:dyDescent="0.35">
      <c r="A407" s="250"/>
      <c r="B407" s="263"/>
      <c r="C407" s="266"/>
      <c r="D407" s="268"/>
      <c r="E407" s="268"/>
      <c r="F407" s="251"/>
      <c r="G407" s="252"/>
      <c r="H407" s="14">
        <f t="shared" ref="H407:K407" si="241">SUM(H402:H406)</f>
        <v>500</v>
      </c>
      <c r="I407" s="14">
        <f t="shared" si="241"/>
        <v>11000</v>
      </c>
      <c r="J407" s="14">
        <f t="shared" si="241"/>
        <v>3000</v>
      </c>
      <c r="K407" s="14">
        <f t="shared" si="241"/>
        <v>0</v>
      </c>
      <c r="L407" s="14">
        <f>SUM(L402:L406)</f>
        <v>14500</v>
      </c>
      <c r="M407" s="14"/>
      <c r="N407" s="14">
        <f>M402-L407</f>
        <v>0</v>
      </c>
      <c r="O407" s="111"/>
      <c r="P407" s="14">
        <f>SUM(P402:P406)</f>
        <v>0</v>
      </c>
    </row>
    <row r="408" spans="1:16" ht="15" thickTop="1" x14ac:dyDescent="0.3">
      <c r="A408" s="260">
        <f t="shared" ref="A408" si="242">A402+1</f>
        <v>68</v>
      </c>
      <c r="B408" s="261" t="s">
        <v>746</v>
      </c>
      <c r="C408" s="264" t="s">
        <v>729</v>
      </c>
      <c r="D408" s="280" t="s">
        <v>736</v>
      </c>
      <c r="E408" s="269" t="s">
        <v>747</v>
      </c>
      <c r="F408" s="39">
        <v>6963</v>
      </c>
      <c r="G408" s="47" t="s">
        <v>748</v>
      </c>
      <c r="H408" s="34">
        <v>500</v>
      </c>
      <c r="I408" s="34">
        <v>11000</v>
      </c>
      <c r="J408" s="34">
        <v>3000</v>
      </c>
      <c r="K408" s="34"/>
      <c r="L408" s="34">
        <f>SUM(H408:K408)</f>
        <v>14500</v>
      </c>
      <c r="M408" s="249">
        <v>14500</v>
      </c>
      <c r="N408" s="34"/>
      <c r="O408" s="94"/>
      <c r="P408" s="34">
        <v>1500</v>
      </c>
    </row>
    <row r="409" spans="1:16" x14ac:dyDescent="0.3">
      <c r="A409" s="249"/>
      <c r="B409" s="262"/>
      <c r="C409" s="265"/>
      <c r="D409" s="267"/>
      <c r="E409" s="265"/>
      <c r="F409" s="31"/>
      <c r="G409" s="36"/>
      <c r="H409" s="36"/>
      <c r="I409" s="36"/>
      <c r="J409" s="36"/>
      <c r="K409" s="36"/>
      <c r="L409" s="34">
        <f t="shared" ref="L409:L412" si="243">SUM(H409:K409)</f>
        <v>0</v>
      </c>
      <c r="M409" s="249"/>
      <c r="N409" s="36"/>
      <c r="O409" s="73"/>
      <c r="P409" s="36"/>
    </row>
    <row r="410" spans="1:16" x14ac:dyDescent="0.3">
      <c r="A410" s="249"/>
      <c r="B410" s="262"/>
      <c r="C410" s="265"/>
      <c r="D410" s="267"/>
      <c r="E410" s="265"/>
      <c r="F410" s="36"/>
      <c r="G410" s="36"/>
      <c r="H410" s="36"/>
      <c r="I410" s="36"/>
      <c r="J410" s="36"/>
      <c r="K410" s="36"/>
      <c r="L410" s="34">
        <f t="shared" si="243"/>
        <v>0</v>
      </c>
      <c r="M410" s="249"/>
      <c r="N410" s="36"/>
      <c r="O410" s="81"/>
      <c r="P410" s="36"/>
    </row>
    <row r="411" spans="1:16" x14ac:dyDescent="0.3">
      <c r="A411" s="249"/>
      <c r="B411" s="262"/>
      <c r="C411" s="265"/>
      <c r="D411" s="267"/>
      <c r="E411" s="265"/>
      <c r="F411" s="36"/>
      <c r="G411" s="36"/>
      <c r="H411" s="36"/>
      <c r="I411" s="36"/>
      <c r="J411" s="36"/>
      <c r="K411" s="36"/>
      <c r="L411" s="34">
        <f t="shared" si="243"/>
        <v>0</v>
      </c>
      <c r="M411" s="249"/>
      <c r="N411" s="36"/>
      <c r="O411" s="73"/>
      <c r="P411" s="36"/>
    </row>
    <row r="412" spans="1:16" ht="15" thickBot="1" x14ac:dyDescent="0.35">
      <c r="A412" s="249"/>
      <c r="B412" s="262"/>
      <c r="C412" s="265"/>
      <c r="D412" s="267"/>
      <c r="E412" s="265"/>
      <c r="F412" s="41"/>
      <c r="G412" s="41"/>
      <c r="H412" s="41"/>
      <c r="I412" s="41"/>
      <c r="J412" s="41"/>
      <c r="K412" s="41"/>
      <c r="L412" s="34">
        <f t="shared" si="243"/>
        <v>0</v>
      </c>
      <c r="M412" s="250"/>
      <c r="N412" s="41"/>
      <c r="O412" s="93"/>
      <c r="P412" s="41"/>
    </row>
    <row r="413" spans="1:16" ht="15.6" thickTop="1" thickBot="1" x14ac:dyDescent="0.35">
      <c r="A413" s="250"/>
      <c r="B413" s="263"/>
      <c r="C413" s="266"/>
      <c r="D413" s="268"/>
      <c r="E413" s="266"/>
      <c r="F413" s="251"/>
      <c r="G413" s="252"/>
      <c r="H413" s="14">
        <f t="shared" ref="H413:K413" si="244">SUM(H408:H412)</f>
        <v>500</v>
      </c>
      <c r="I413" s="14">
        <f t="shared" si="244"/>
        <v>11000</v>
      </c>
      <c r="J413" s="14">
        <f t="shared" si="244"/>
        <v>3000</v>
      </c>
      <c r="K413" s="14">
        <f t="shared" si="244"/>
        <v>0</v>
      </c>
      <c r="L413" s="14">
        <f>SUM(L408:L412)</f>
        <v>14500</v>
      </c>
      <c r="M413" s="14"/>
      <c r="N413" s="14">
        <f>M408-L413</f>
        <v>0</v>
      </c>
      <c r="O413" s="111"/>
      <c r="P413" s="14">
        <f>SUM(P408:P412)</f>
        <v>1500</v>
      </c>
    </row>
    <row r="414" spans="1:16" ht="15" thickTop="1" x14ac:dyDescent="0.3">
      <c r="A414" s="248">
        <f t="shared" ref="A414" si="245">A408+1</f>
        <v>69</v>
      </c>
      <c r="B414" s="283" t="s">
        <v>749</v>
      </c>
      <c r="C414" s="286" t="s">
        <v>735</v>
      </c>
      <c r="D414" s="256" t="s">
        <v>736</v>
      </c>
      <c r="E414" s="297" t="s">
        <v>747</v>
      </c>
      <c r="F414" s="3">
        <v>6964</v>
      </c>
      <c r="G414" s="29" t="s">
        <v>748</v>
      </c>
      <c r="H414" s="20">
        <v>500</v>
      </c>
      <c r="I414" s="20">
        <v>3000</v>
      </c>
      <c r="J414" s="20">
        <v>3000</v>
      </c>
      <c r="K414" s="20"/>
      <c r="L414" s="20">
        <f>SUM(H414:K414)</f>
        <v>6500</v>
      </c>
      <c r="M414" s="241">
        <v>14500</v>
      </c>
      <c r="N414" s="20"/>
      <c r="O414" s="86"/>
      <c r="P414" s="20">
        <v>1500</v>
      </c>
    </row>
    <row r="415" spans="1:16" x14ac:dyDescent="0.3">
      <c r="A415" s="241"/>
      <c r="B415" s="284"/>
      <c r="C415" s="287"/>
      <c r="D415" s="257"/>
      <c r="E415" s="287"/>
      <c r="F415" s="16"/>
      <c r="G415" s="4"/>
      <c r="H415" s="4"/>
      <c r="I415" s="4"/>
      <c r="J415" s="4"/>
      <c r="K415" s="4"/>
      <c r="L415" s="20">
        <f t="shared" ref="L415:L418" si="246">SUM(H415:K415)</f>
        <v>0</v>
      </c>
      <c r="M415" s="241"/>
      <c r="N415" s="4"/>
      <c r="O415" s="71"/>
      <c r="P415" s="4"/>
    </row>
    <row r="416" spans="1:16" x14ac:dyDescent="0.3">
      <c r="A416" s="241"/>
      <c r="B416" s="284"/>
      <c r="C416" s="287"/>
      <c r="D416" s="257"/>
      <c r="E416" s="287"/>
      <c r="F416" s="4"/>
      <c r="G416" s="4"/>
      <c r="H416" s="4"/>
      <c r="I416" s="4"/>
      <c r="J416" s="4"/>
      <c r="K416" s="4"/>
      <c r="L416" s="20">
        <f t="shared" si="246"/>
        <v>0</v>
      </c>
      <c r="M416" s="241"/>
      <c r="N416" s="4"/>
      <c r="O416" s="78"/>
      <c r="P416" s="4"/>
    </row>
    <row r="417" spans="1:16" x14ac:dyDescent="0.3">
      <c r="A417" s="241"/>
      <c r="B417" s="284"/>
      <c r="C417" s="287"/>
      <c r="D417" s="257"/>
      <c r="E417" s="287"/>
      <c r="F417" s="4"/>
      <c r="G417" s="4"/>
      <c r="H417" s="4"/>
      <c r="I417" s="4"/>
      <c r="J417" s="4"/>
      <c r="K417" s="4"/>
      <c r="L417" s="20">
        <f t="shared" si="246"/>
        <v>0</v>
      </c>
      <c r="M417" s="241"/>
      <c r="N417" s="4"/>
      <c r="O417" s="71"/>
      <c r="P417" s="4"/>
    </row>
    <row r="418" spans="1:16" ht="15" thickBot="1" x14ac:dyDescent="0.35">
      <c r="A418" s="241"/>
      <c r="B418" s="284"/>
      <c r="C418" s="287"/>
      <c r="D418" s="257"/>
      <c r="E418" s="287"/>
      <c r="F418" s="6"/>
      <c r="G418" s="6"/>
      <c r="H418" s="6"/>
      <c r="I418" s="6"/>
      <c r="J418" s="6"/>
      <c r="K418" s="6"/>
      <c r="L418" s="20">
        <f t="shared" si="246"/>
        <v>0</v>
      </c>
      <c r="M418" s="242"/>
      <c r="N418" s="6"/>
      <c r="O418" s="87"/>
      <c r="P418" s="6"/>
    </row>
    <row r="419" spans="1:16" ht="15.6" thickTop="1" thickBot="1" x14ac:dyDescent="0.35">
      <c r="A419" s="242"/>
      <c r="B419" s="285"/>
      <c r="C419" s="288"/>
      <c r="D419" s="258"/>
      <c r="E419" s="288"/>
      <c r="F419" s="243"/>
      <c r="G419" s="244"/>
      <c r="H419" s="8">
        <f t="shared" ref="H419:K419" si="247">SUM(H414:H418)</f>
        <v>500</v>
      </c>
      <c r="I419" s="8">
        <f t="shared" si="247"/>
        <v>3000</v>
      </c>
      <c r="J419" s="8">
        <f t="shared" si="247"/>
        <v>3000</v>
      </c>
      <c r="K419" s="8">
        <f t="shared" si="247"/>
        <v>0</v>
      </c>
      <c r="L419" s="8">
        <f>SUM(L414:L418)</f>
        <v>6500</v>
      </c>
      <c r="M419" s="8"/>
      <c r="N419" s="8">
        <f>M414-L419</f>
        <v>8000</v>
      </c>
      <c r="O419" s="100"/>
      <c r="P419" s="8">
        <f>SUM(P414:P418)</f>
        <v>1500</v>
      </c>
    </row>
    <row r="420" spans="1:16" ht="15" thickTop="1" x14ac:dyDescent="0.3">
      <c r="A420" s="260">
        <f t="shared" ref="A420" si="248">A414+1</f>
        <v>70</v>
      </c>
      <c r="B420" s="261" t="s">
        <v>750</v>
      </c>
      <c r="C420" s="264" t="s">
        <v>205</v>
      </c>
      <c r="D420" s="280" t="s">
        <v>751</v>
      </c>
      <c r="E420" s="269" t="s">
        <v>747</v>
      </c>
      <c r="F420" s="39">
        <v>6965</v>
      </c>
      <c r="G420" s="47" t="s">
        <v>748</v>
      </c>
      <c r="H420" s="34">
        <v>500</v>
      </c>
      <c r="I420" s="34">
        <v>11000</v>
      </c>
      <c r="J420" s="34">
        <v>3000</v>
      </c>
      <c r="K420" s="34"/>
      <c r="L420" s="34">
        <f>SUM(H420:K420)</f>
        <v>14500</v>
      </c>
      <c r="M420" s="249">
        <v>14500</v>
      </c>
      <c r="N420" s="34"/>
      <c r="O420" s="94"/>
      <c r="P420" s="34">
        <v>1500</v>
      </c>
    </row>
    <row r="421" spans="1:16" x14ac:dyDescent="0.3">
      <c r="A421" s="249"/>
      <c r="B421" s="262"/>
      <c r="C421" s="265"/>
      <c r="D421" s="267"/>
      <c r="E421" s="265"/>
      <c r="F421" s="31"/>
      <c r="G421" s="36"/>
      <c r="H421" s="36"/>
      <c r="I421" s="36"/>
      <c r="J421" s="36"/>
      <c r="K421" s="36"/>
      <c r="L421" s="34">
        <f t="shared" ref="L421:L424" si="249">SUM(H421:K421)</f>
        <v>0</v>
      </c>
      <c r="M421" s="249"/>
      <c r="N421" s="36"/>
      <c r="O421" s="73"/>
      <c r="P421" s="36"/>
    </row>
    <row r="422" spans="1:16" x14ac:dyDescent="0.3">
      <c r="A422" s="249"/>
      <c r="B422" s="262"/>
      <c r="C422" s="265"/>
      <c r="D422" s="267"/>
      <c r="E422" s="265"/>
      <c r="F422" s="36"/>
      <c r="G422" s="36"/>
      <c r="H422" s="36"/>
      <c r="I422" s="36"/>
      <c r="J422" s="36"/>
      <c r="K422" s="36"/>
      <c r="L422" s="34">
        <f t="shared" si="249"/>
        <v>0</v>
      </c>
      <c r="M422" s="249"/>
      <c r="N422" s="36"/>
      <c r="O422" s="81"/>
      <c r="P422" s="36"/>
    </row>
    <row r="423" spans="1:16" x14ac:dyDescent="0.3">
      <c r="A423" s="249"/>
      <c r="B423" s="262"/>
      <c r="C423" s="265"/>
      <c r="D423" s="267"/>
      <c r="E423" s="265"/>
      <c r="F423" s="36"/>
      <c r="G423" s="36"/>
      <c r="H423" s="36"/>
      <c r="I423" s="36"/>
      <c r="J423" s="36"/>
      <c r="K423" s="36"/>
      <c r="L423" s="34">
        <f t="shared" si="249"/>
        <v>0</v>
      </c>
      <c r="M423" s="249"/>
      <c r="N423" s="36"/>
      <c r="O423" s="73"/>
      <c r="P423" s="36"/>
    </row>
    <row r="424" spans="1:16" ht="15" thickBot="1" x14ac:dyDescent="0.35">
      <c r="A424" s="249"/>
      <c r="B424" s="262"/>
      <c r="C424" s="265"/>
      <c r="D424" s="267"/>
      <c r="E424" s="265"/>
      <c r="F424" s="41"/>
      <c r="G424" s="41"/>
      <c r="H424" s="41"/>
      <c r="I424" s="41"/>
      <c r="J424" s="41"/>
      <c r="K424" s="41"/>
      <c r="L424" s="34">
        <f t="shared" si="249"/>
        <v>0</v>
      </c>
      <c r="M424" s="250"/>
      <c r="N424" s="41"/>
      <c r="O424" s="93"/>
      <c r="P424" s="41"/>
    </row>
    <row r="425" spans="1:16" ht="15.6" thickTop="1" thickBot="1" x14ac:dyDescent="0.35">
      <c r="A425" s="250"/>
      <c r="B425" s="263"/>
      <c r="C425" s="266"/>
      <c r="D425" s="268"/>
      <c r="E425" s="266"/>
      <c r="F425" s="251"/>
      <c r="G425" s="252"/>
      <c r="H425" s="14">
        <f t="shared" ref="H425:K425" si="250">SUM(H420:H424)</f>
        <v>500</v>
      </c>
      <c r="I425" s="14">
        <f t="shared" si="250"/>
        <v>11000</v>
      </c>
      <c r="J425" s="14">
        <f t="shared" si="250"/>
        <v>3000</v>
      </c>
      <c r="K425" s="14">
        <f t="shared" si="250"/>
        <v>0</v>
      </c>
      <c r="L425" s="14">
        <f>SUM(L420:L424)</f>
        <v>14500</v>
      </c>
      <c r="M425" s="14"/>
      <c r="N425" s="14">
        <f>M420-L425</f>
        <v>0</v>
      </c>
      <c r="O425" s="111"/>
      <c r="P425" s="14">
        <f>SUM(P420:P424)</f>
        <v>1500</v>
      </c>
    </row>
    <row r="426" spans="1:16" ht="15" thickTop="1" x14ac:dyDescent="0.3">
      <c r="A426" s="260">
        <f t="shared" ref="A426" si="251">A420+1</f>
        <v>71</v>
      </c>
      <c r="B426" s="261" t="s">
        <v>780</v>
      </c>
      <c r="C426" s="264" t="s">
        <v>102</v>
      </c>
      <c r="D426" s="280" t="s">
        <v>781</v>
      </c>
      <c r="E426" s="269" t="s">
        <v>768</v>
      </c>
      <c r="F426" s="39">
        <v>6982</v>
      </c>
      <c r="G426" s="47" t="s">
        <v>757</v>
      </c>
      <c r="H426" s="34">
        <v>500</v>
      </c>
      <c r="I426" s="34">
        <v>11000</v>
      </c>
      <c r="J426" s="34">
        <v>3000</v>
      </c>
      <c r="K426" s="34"/>
      <c r="L426" s="34">
        <f>SUM(H426:K426)</f>
        <v>14500</v>
      </c>
      <c r="M426" s="249">
        <v>14500</v>
      </c>
      <c r="N426" s="34"/>
      <c r="O426" s="94" t="s">
        <v>240</v>
      </c>
      <c r="P426" s="34">
        <v>1500</v>
      </c>
    </row>
    <row r="427" spans="1:16" x14ac:dyDescent="0.3">
      <c r="A427" s="249"/>
      <c r="B427" s="262"/>
      <c r="C427" s="265"/>
      <c r="D427" s="267"/>
      <c r="E427" s="265"/>
      <c r="F427" s="31"/>
      <c r="G427" s="36"/>
      <c r="H427" s="36"/>
      <c r="I427" s="36"/>
      <c r="J427" s="36"/>
      <c r="K427" s="36"/>
      <c r="L427" s="34">
        <f t="shared" ref="L427:L430" si="252">SUM(H427:K427)</f>
        <v>0</v>
      </c>
      <c r="M427" s="249"/>
      <c r="N427" s="36"/>
      <c r="O427" s="73"/>
      <c r="P427" s="36"/>
    </row>
    <row r="428" spans="1:16" x14ac:dyDescent="0.3">
      <c r="A428" s="249"/>
      <c r="B428" s="262"/>
      <c r="C428" s="265"/>
      <c r="D428" s="267"/>
      <c r="E428" s="265"/>
      <c r="F428" s="36"/>
      <c r="G428" s="36"/>
      <c r="H428" s="36"/>
      <c r="I428" s="36"/>
      <c r="J428" s="36"/>
      <c r="K428" s="36"/>
      <c r="L428" s="34">
        <f t="shared" si="252"/>
        <v>0</v>
      </c>
      <c r="M428" s="249"/>
      <c r="N428" s="36"/>
      <c r="O428" s="81"/>
      <c r="P428" s="36"/>
    </row>
    <row r="429" spans="1:16" x14ac:dyDescent="0.3">
      <c r="A429" s="249"/>
      <c r="B429" s="262"/>
      <c r="C429" s="265"/>
      <c r="D429" s="267"/>
      <c r="E429" s="265"/>
      <c r="F429" s="36"/>
      <c r="G429" s="36"/>
      <c r="H429" s="36"/>
      <c r="I429" s="36"/>
      <c r="J429" s="36"/>
      <c r="K429" s="36"/>
      <c r="L429" s="34">
        <f t="shared" si="252"/>
        <v>0</v>
      </c>
      <c r="M429" s="249"/>
      <c r="N429" s="36"/>
      <c r="O429" s="73"/>
      <c r="P429" s="36"/>
    </row>
    <row r="430" spans="1:16" ht="15" thickBot="1" x14ac:dyDescent="0.35">
      <c r="A430" s="249"/>
      <c r="B430" s="262"/>
      <c r="C430" s="265"/>
      <c r="D430" s="267"/>
      <c r="E430" s="265"/>
      <c r="F430" s="41"/>
      <c r="G430" s="41"/>
      <c r="H430" s="41"/>
      <c r="I430" s="41"/>
      <c r="J430" s="41"/>
      <c r="K430" s="41"/>
      <c r="L430" s="34">
        <f t="shared" si="252"/>
        <v>0</v>
      </c>
      <c r="M430" s="250"/>
      <c r="N430" s="41"/>
      <c r="O430" s="93"/>
      <c r="P430" s="41"/>
    </row>
    <row r="431" spans="1:16" ht="15.6" thickTop="1" thickBot="1" x14ac:dyDescent="0.35">
      <c r="A431" s="250"/>
      <c r="B431" s="263"/>
      <c r="C431" s="266"/>
      <c r="D431" s="268"/>
      <c r="E431" s="266"/>
      <c r="F431" s="251"/>
      <c r="G431" s="252"/>
      <c r="H431" s="14">
        <f t="shared" ref="H431:K431" si="253">SUM(H426:H430)</f>
        <v>500</v>
      </c>
      <c r="I431" s="14">
        <f t="shared" si="253"/>
        <v>11000</v>
      </c>
      <c r="J431" s="14">
        <f t="shared" si="253"/>
        <v>3000</v>
      </c>
      <c r="K431" s="14">
        <f t="shared" si="253"/>
        <v>0</v>
      </c>
      <c r="L431" s="14">
        <f>SUM(L426:L430)</f>
        <v>14500</v>
      </c>
      <c r="M431" s="14"/>
      <c r="N431" s="14">
        <f>M426-L431</f>
        <v>0</v>
      </c>
      <c r="O431" s="111"/>
      <c r="P431" s="14">
        <f>SUM(P426:P430)</f>
        <v>1500</v>
      </c>
    </row>
    <row r="432" spans="1:16" ht="15" thickTop="1" x14ac:dyDescent="0.3">
      <c r="A432" s="248">
        <f t="shared" ref="A432" si="254">A426+1</f>
        <v>72</v>
      </c>
      <c r="B432" s="283" t="s">
        <v>782</v>
      </c>
      <c r="C432" s="286" t="s">
        <v>350</v>
      </c>
      <c r="D432" s="256" t="s">
        <v>783</v>
      </c>
      <c r="E432" s="297" t="s">
        <v>784</v>
      </c>
      <c r="F432" s="3">
        <v>6989</v>
      </c>
      <c r="G432" s="29" t="s">
        <v>766</v>
      </c>
      <c r="H432" s="20">
        <v>500</v>
      </c>
      <c r="I432" s="20">
        <v>3000</v>
      </c>
      <c r="J432" s="20">
        <v>3000</v>
      </c>
      <c r="K432" s="20"/>
      <c r="L432" s="20">
        <f>SUM(H432:K432)</f>
        <v>6500</v>
      </c>
      <c r="M432" s="241">
        <v>14500</v>
      </c>
      <c r="N432" s="20"/>
      <c r="O432" s="86" t="s">
        <v>240</v>
      </c>
      <c r="P432" s="20">
        <v>1500</v>
      </c>
    </row>
    <row r="433" spans="1:16" x14ac:dyDescent="0.3">
      <c r="A433" s="241"/>
      <c r="B433" s="284"/>
      <c r="C433" s="287"/>
      <c r="D433" s="257"/>
      <c r="E433" s="287"/>
      <c r="F433" s="16"/>
      <c r="G433" s="4"/>
      <c r="H433" s="4"/>
      <c r="I433" s="4"/>
      <c r="J433" s="4"/>
      <c r="K433" s="4"/>
      <c r="L433" s="20">
        <f t="shared" ref="L433:L436" si="255">SUM(H433:K433)</f>
        <v>0</v>
      </c>
      <c r="M433" s="241"/>
      <c r="N433" s="4"/>
      <c r="O433" s="71"/>
      <c r="P433" s="4"/>
    </row>
    <row r="434" spans="1:16" x14ac:dyDescent="0.3">
      <c r="A434" s="241"/>
      <c r="B434" s="284"/>
      <c r="C434" s="287"/>
      <c r="D434" s="257"/>
      <c r="E434" s="287"/>
      <c r="F434" s="4"/>
      <c r="G434" s="4"/>
      <c r="H434" s="4"/>
      <c r="I434" s="4"/>
      <c r="J434" s="4"/>
      <c r="K434" s="4"/>
      <c r="L434" s="20">
        <f t="shared" si="255"/>
        <v>0</v>
      </c>
      <c r="M434" s="241"/>
      <c r="N434" s="4"/>
      <c r="O434" s="78"/>
      <c r="P434" s="4"/>
    </row>
    <row r="435" spans="1:16" x14ac:dyDescent="0.3">
      <c r="A435" s="241"/>
      <c r="B435" s="284"/>
      <c r="C435" s="287"/>
      <c r="D435" s="257"/>
      <c r="E435" s="287"/>
      <c r="F435" s="4"/>
      <c r="G435" s="4"/>
      <c r="H435" s="4"/>
      <c r="I435" s="4"/>
      <c r="J435" s="4"/>
      <c r="K435" s="4"/>
      <c r="L435" s="20">
        <f t="shared" si="255"/>
        <v>0</v>
      </c>
      <c r="M435" s="241"/>
      <c r="N435" s="4"/>
      <c r="O435" s="71"/>
      <c r="P435" s="4"/>
    </row>
    <row r="436" spans="1:16" ht="15" thickBot="1" x14ac:dyDescent="0.35">
      <c r="A436" s="241"/>
      <c r="B436" s="284"/>
      <c r="C436" s="287"/>
      <c r="D436" s="257"/>
      <c r="E436" s="287"/>
      <c r="F436" s="6"/>
      <c r="G436" s="6"/>
      <c r="H436" s="6"/>
      <c r="I436" s="6"/>
      <c r="J436" s="6"/>
      <c r="K436" s="6"/>
      <c r="L436" s="20">
        <f t="shared" si="255"/>
        <v>0</v>
      </c>
      <c r="M436" s="242"/>
      <c r="N436" s="6"/>
      <c r="O436" s="87"/>
      <c r="P436" s="6"/>
    </row>
    <row r="437" spans="1:16" ht="15.6" thickTop="1" thickBot="1" x14ac:dyDescent="0.35">
      <c r="A437" s="242"/>
      <c r="B437" s="285"/>
      <c r="C437" s="288"/>
      <c r="D437" s="258"/>
      <c r="E437" s="288"/>
      <c r="F437" s="243"/>
      <c r="G437" s="244"/>
      <c r="H437" s="8">
        <f t="shared" ref="H437:K437" si="256">SUM(H432:H436)</f>
        <v>500</v>
      </c>
      <c r="I437" s="8">
        <f t="shared" si="256"/>
        <v>3000</v>
      </c>
      <c r="J437" s="8">
        <f t="shared" si="256"/>
        <v>3000</v>
      </c>
      <c r="K437" s="8">
        <f t="shared" si="256"/>
        <v>0</v>
      </c>
      <c r="L437" s="8">
        <f>SUM(L432:L436)</f>
        <v>6500</v>
      </c>
      <c r="M437" s="8"/>
      <c r="N437" s="8">
        <f>M432-L437</f>
        <v>8000</v>
      </c>
      <c r="O437" s="100"/>
      <c r="P437" s="8">
        <f>SUM(P432:P436)</f>
        <v>1500</v>
      </c>
    </row>
    <row r="438" spans="1:16" ht="15" thickTop="1" x14ac:dyDescent="0.3">
      <c r="A438" s="248">
        <f t="shared" ref="A438" si="257">A432+1</f>
        <v>73</v>
      </c>
      <c r="B438" s="329" t="s">
        <v>785</v>
      </c>
      <c r="C438" s="257" t="s">
        <v>90</v>
      </c>
      <c r="D438" s="257" t="s">
        <v>802</v>
      </c>
      <c r="E438" s="292" t="s">
        <v>763</v>
      </c>
      <c r="F438" s="3">
        <v>6994</v>
      </c>
      <c r="G438" s="29" t="s">
        <v>770</v>
      </c>
      <c r="H438" s="20">
        <v>500</v>
      </c>
      <c r="I438" s="20">
        <v>3500</v>
      </c>
      <c r="J438" s="20"/>
      <c r="K438" s="20"/>
      <c r="L438" s="20">
        <f>SUM(H438:K438)</f>
        <v>4000</v>
      </c>
      <c r="M438" s="241">
        <v>14500</v>
      </c>
      <c r="N438" s="20"/>
      <c r="O438" s="86" t="s">
        <v>295</v>
      </c>
      <c r="P438" s="20"/>
    </row>
    <row r="439" spans="1:16" x14ac:dyDescent="0.3">
      <c r="A439" s="241"/>
      <c r="B439" s="329"/>
      <c r="C439" s="257"/>
      <c r="D439" s="257"/>
      <c r="E439" s="287"/>
      <c r="F439" s="16"/>
      <c r="G439" s="4"/>
      <c r="H439" s="4"/>
      <c r="I439" s="4"/>
      <c r="J439" s="4"/>
      <c r="K439" s="4"/>
      <c r="L439" s="20">
        <f t="shared" ref="L439:L442" si="258">SUM(H439:K439)</f>
        <v>0</v>
      </c>
      <c r="M439" s="241"/>
      <c r="N439" s="4"/>
      <c r="O439" s="71"/>
      <c r="P439" s="4"/>
    </row>
    <row r="440" spans="1:16" x14ac:dyDescent="0.3">
      <c r="A440" s="241"/>
      <c r="B440" s="329"/>
      <c r="C440" s="257"/>
      <c r="D440" s="257"/>
      <c r="E440" s="287"/>
      <c r="F440" s="4"/>
      <c r="G440" s="4"/>
      <c r="H440" s="4"/>
      <c r="I440" s="4"/>
      <c r="J440" s="4"/>
      <c r="K440" s="4"/>
      <c r="L440" s="20">
        <f t="shared" si="258"/>
        <v>0</v>
      </c>
      <c r="M440" s="241"/>
      <c r="N440" s="4"/>
      <c r="O440" s="78"/>
      <c r="P440" s="4"/>
    </row>
    <row r="441" spans="1:16" x14ac:dyDescent="0.3">
      <c r="A441" s="241"/>
      <c r="B441" s="329"/>
      <c r="C441" s="257"/>
      <c r="D441" s="257"/>
      <c r="E441" s="287"/>
      <c r="F441" s="4"/>
      <c r="G441" s="4"/>
      <c r="H441" s="4"/>
      <c r="I441" s="4"/>
      <c r="J441" s="4"/>
      <c r="K441" s="4"/>
      <c r="L441" s="20">
        <f t="shared" si="258"/>
        <v>0</v>
      </c>
      <c r="M441" s="241"/>
      <c r="N441" s="4"/>
      <c r="O441" s="71"/>
      <c r="P441" s="4"/>
    </row>
    <row r="442" spans="1:16" ht="15" thickBot="1" x14ac:dyDescent="0.35">
      <c r="A442" s="241"/>
      <c r="B442" s="329"/>
      <c r="C442" s="257"/>
      <c r="D442" s="257"/>
      <c r="E442" s="287"/>
      <c r="F442" s="6"/>
      <c r="G442" s="6"/>
      <c r="H442" s="6"/>
      <c r="I442" s="6"/>
      <c r="J442" s="6"/>
      <c r="K442" s="6"/>
      <c r="L442" s="20">
        <f t="shared" si="258"/>
        <v>0</v>
      </c>
      <c r="M442" s="242"/>
      <c r="N442" s="6"/>
      <c r="O442" s="87"/>
      <c r="P442" s="6"/>
    </row>
    <row r="443" spans="1:16" ht="15.6" thickTop="1" thickBot="1" x14ac:dyDescent="0.35">
      <c r="A443" s="242"/>
      <c r="B443" s="330"/>
      <c r="C443" s="258"/>
      <c r="D443" s="258"/>
      <c r="E443" s="288"/>
      <c r="F443" s="243"/>
      <c r="G443" s="244"/>
      <c r="H443" s="8">
        <f t="shared" ref="H443:K443" si="259">SUM(H438:H442)</f>
        <v>500</v>
      </c>
      <c r="I443" s="8">
        <f t="shared" si="259"/>
        <v>3500</v>
      </c>
      <c r="J443" s="8">
        <f t="shared" si="259"/>
        <v>0</v>
      </c>
      <c r="K443" s="8">
        <f t="shared" si="259"/>
        <v>0</v>
      </c>
      <c r="L443" s="8">
        <f>SUM(L438:L442)</f>
        <v>4000</v>
      </c>
      <c r="M443" s="8"/>
      <c r="N443" s="8">
        <f>M438-L443</f>
        <v>10500</v>
      </c>
      <c r="O443" s="100"/>
      <c r="P443" s="8">
        <f>SUM(P438:P442)</f>
        <v>0</v>
      </c>
    </row>
    <row r="444" spans="1:16" ht="15.75" customHeight="1" thickTop="1" x14ac:dyDescent="0.3">
      <c r="A444" s="248">
        <f t="shared" ref="A444" si="260">A438+1</f>
        <v>74</v>
      </c>
      <c r="B444" s="283" t="s">
        <v>801</v>
      </c>
      <c r="C444" s="286" t="s">
        <v>90</v>
      </c>
      <c r="D444" s="256" t="s">
        <v>783</v>
      </c>
      <c r="E444" s="297" t="s">
        <v>803</v>
      </c>
      <c r="F444" s="3">
        <v>7001</v>
      </c>
      <c r="G444" s="29" t="s">
        <v>791</v>
      </c>
      <c r="H444" s="20">
        <v>500</v>
      </c>
      <c r="I444" s="20">
        <v>3000</v>
      </c>
      <c r="J444" s="20"/>
      <c r="K444" s="20"/>
      <c r="L444" s="20">
        <f>SUM(H444:K444)</f>
        <v>3500</v>
      </c>
      <c r="M444" s="241">
        <v>14500</v>
      </c>
      <c r="N444" s="20"/>
      <c r="O444" s="86"/>
      <c r="P444" s="20">
        <v>1500</v>
      </c>
    </row>
    <row r="445" spans="1:16" x14ac:dyDescent="0.3">
      <c r="A445" s="241"/>
      <c r="B445" s="284"/>
      <c r="C445" s="287"/>
      <c r="D445" s="257"/>
      <c r="E445" s="287"/>
      <c r="F445" s="16"/>
      <c r="G445" s="4"/>
      <c r="H445" s="4"/>
      <c r="I445" s="4"/>
      <c r="J445" s="4"/>
      <c r="K445" s="4"/>
      <c r="L445" s="20">
        <f t="shared" ref="L445:L448" si="261">SUM(H445:K445)</f>
        <v>0</v>
      </c>
      <c r="M445" s="241"/>
      <c r="N445" s="4"/>
      <c r="O445" s="71"/>
      <c r="P445" s="4"/>
    </row>
    <row r="446" spans="1:16" x14ac:dyDescent="0.3">
      <c r="A446" s="241"/>
      <c r="B446" s="284"/>
      <c r="C446" s="287"/>
      <c r="D446" s="257"/>
      <c r="E446" s="287"/>
      <c r="F446" s="4"/>
      <c r="G446" s="4"/>
      <c r="H446" s="4"/>
      <c r="I446" s="4"/>
      <c r="J446" s="4"/>
      <c r="K446" s="4"/>
      <c r="L446" s="20">
        <f t="shared" si="261"/>
        <v>0</v>
      </c>
      <c r="M446" s="241"/>
      <c r="N446" s="4"/>
      <c r="O446" s="78"/>
      <c r="P446" s="4"/>
    </row>
    <row r="447" spans="1:16" x14ac:dyDescent="0.3">
      <c r="A447" s="241"/>
      <c r="B447" s="284"/>
      <c r="C447" s="287"/>
      <c r="D447" s="257"/>
      <c r="E447" s="287"/>
      <c r="F447" s="4"/>
      <c r="G447" s="4"/>
      <c r="H447" s="4"/>
      <c r="I447" s="4"/>
      <c r="J447" s="4"/>
      <c r="K447" s="4"/>
      <c r="L447" s="20">
        <f t="shared" si="261"/>
        <v>0</v>
      </c>
      <c r="M447" s="241"/>
      <c r="N447" s="4"/>
      <c r="O447" s="71"/>
      <c r="P447" s="4"/>
    </row>
    <row r="448" spans="1:16" ht="15" thickBot="1" x14ac:dyDescent="0.35">
      <c r="A448" s="241"/>
      <c r="B448" s="284"/>
      <c r="C448" s="287"/>
      <c r="D448" s="257"/>
      <c r="E448" s="287"/>
      <c r="F448" s="6"/>
      <c r="G448" s="6"/>
      <c r="H448" s="6"/>
      <c r="I448" s="6"/>
      <c r="J448" s="6"/>
      <c r="K448" s="6"/>
      <c r="L448" s="20">
        <f t="shared" si="261"/>
        <v>0</v>
      </c>
      <c r="M448" s="242"/>
      <c r="N448" s="6"/>
      <c r="O448" s="87"/>
      <c r="P448" s="6"/>
    </row>
    <row r="449" spans="1:16" ht="15.6" thickTop="1" thickBot="1" x14ac:dyDescent="0.35">
      <c r="A449" s="242"/>
      <c r="B449" s="285"/>
      <c r="C449" s="288"/>
      <c r="D449" s="258"/>
      <c r="E449" s="288"/>
      <c r="F449" s="243"/>
      <c r="G449" s="244"/>
      <c r="H449" s="8">
        <f t="shared" ref="H449:K449" si="262">SUM(H444:H448)</f>
        <v>500</v>
      </c>
      <c r="I449" s="8">
        <f t="shared" si="262"/>
        <v>3000</v>
      </c>
      <c r="J449" s="8">
        <f t="shared" si="262"/>
        <v>0</v>
      </c>
      <c r="K449" s="8">
        <f t="shared" si="262"/>
        <v>0</v>
      </c>
      <c r="L449" s="8">
        <f>SUM(L444:L448)</f>
        <v>3500</v>
      </c>
      <c r="M449" s="8"/>
      <c r="N449" s="8">
        <f>M444-L449</f>
        <v>11000</v>
      </c>
      <c r="O449" s="100"/>
      <c r="P449" s="8">
        <f>SUM(P444:P448)</f>
        <v>1500</v>
      </c>
    </row>
    <row r="450" spans="1:16" ht="15" thickTop="1" x14ac:dyDescent="0.3">
      <c r="A450" s="248">
        <f t="shared" ref="A450" si="263">A444+1</f>
        <v>75</v>
      </c>
      <c r="B450" s="329" t="s">
        <v>809</v>
      </c>
      <c r="C450" s="257" t="s">
        <v>90</v>
      </c>
      <c r="D450" s="257" t="s">
        <v>643</v>
      </c>
      <c r="E450" s="292" t="s">
        <v>763</v>
      </c>
      <c r="F450" s="3">
        <v>7004</v>
      </c>
      <c r="G450" s="29" t="s">
        <v>806</v>
      </c>
      <c r="H450" s="20">
        <v>500</v>
      </c>
      <c r="I450" s="20">
        <v>2500</v>
      </c>
      <c r="J450" s="20">
        <v>3000</v>
      </c>
      <c r="K450" s="20"/>
      <c r="L450" s="20">
        <f>SUM(H450:K450)</f>
        <v>6000</v>
      </c>
      <c r="M450" s="241">
        <v>14500</v>
      </c>
      <c r="N450" s="20"/>
      <c r="O450" s="86" t="s">
        <v>295</v>
      </c>
      <c r="P450" s="20"/>
    </row>
    <row r="451" spans="1:16" x14ac:dyDescent="0.3">
      <c r="A451" s="241"/>
      <c r="B451" s="329"/>
      <c r="C451" s="257"/>
      <c r="D451" s="257"/>
      <c r="E451" s="287"/>
      <c r="F451" s="16"/>
      <c r="G451" s="4"/>
      <c r="H451" s="4"/>
      <c r="I451" s="4"/>
      <c r="J451" s="4"/>
      <c r="K451" s="4"/>
      <c r="L451" s="20">
        <f t="shared" ref="L451:L454" si="264">SUM(H451:K451)</f>
        <v>0</v>
      </c>
      <c r="M451" s="241"/>
      <c r="N451" s="4"/>
      <c r="O451" s="71"/>
      <c r="P451" s="4"/>
    </row>
    <row r="452" spans="1:16" x14ac:dyDescent="0.3">
      <c r="A452" s="241"/>
      <c r="B452" s="329"/>
      <c r="C452" s="257"/>
      <c r="D452" s="257"/>
      <c r="E452" s="287"/>
      <c r="F452" s="4"/>
      <c r="G452" s="4"/>
      <c r="H452" s="4"/>
      <c r="I452" s="4"/>
      <c r="J452" s="4"/>
      <c r="K452" s="4"/>
      <c r="L452" s="20">
        <f t="shared" si="264"/>
        <v>0</v>
      </c>
      <c r="M452" s="241"/>
      <c r="N452" s="4"/>
      <c r="O452" s="78"/>
      <c r="P452" s="4"/>
    </row>
    <row r="453" spans="1:16" x14ac:dyDescent="0.3">
      <c r="A453" s="241"/>
      <c r="B453" s="329"/>
      <c r="C453" s="257"/>
      <c r="D453" s="257"/>
      <c r="E453" s="287"/>
      <c r="F453" s="4"/>
      <c r="G453" s="4"/>
      <c r="H453" s="4"/>
      <c r="I453" s="4"/>
      <c r="J453" s="4"/>
      <c r="K453" s="4"/>
      <c r="L453" s="20">
        <f t="shared" si="264"/>
        <v>0</v>
      </c>
      <c r="M453" s="241"/>
      <c r="N453" s="4"/>
      <c r="O453" s="71"/>
      <c r="P453" s="4"/>
    </row>
    <row r="454" spans="1:16" ht="15" thickBot="1" x14ac:dyDescent="0.35">
      <c r="A454" s="241"/>
      <c r="B454" s="329"/>
      <c r="C454" s="257"/>
      <c r="D454" s="257"/>
      <c r="E454" s="287"/>
      <c r="F454" s="6"/>
      <c r="G454" s="6"/>
      <c r="H454" s="6"/>
      <c r="I454" s="6"/>
      <c r="J454" s="6"/>
      <c r="K454" s="6"/>
      <c r="L454" s="20">
        <f t="shared" si="264"/>
        <v>0</v>
      </c>
      <c r="M454" s="242"/>
      <c r="N454" s="6"/>
      <c r="O454" s="87"/>
      <c r="P454" s="6"/>
    </row>
    <row r="455" spans="1:16" ht="15.6" thickTop="1" thickBot="1" x14ac:dyDescent="0.35">
      <c r="A455" s="242"/>
      <c r="B455" s="330"/>
      <c r="C455" s="258"/>
      <c r="D455" s="258"/>
      <c r="E455" s="288"/>
      <c r="F455" s="243"/>
      <c r="G455" s="244"/>
      <c r="H455" s="8">
        <f t="shared" ref="H455:K455" si="265">SUM(H450:H454)</f>
        <v>500</v>
      </c>
      <c r="I455" s="8">
        <f t="shared" si="265"/>
        <v>2500</v>
      </c>
      <c r="J455" s="8">
        <f t="shared" si="265"/>
        <v>3000</v>
      </c>
      <c r="K455" s="8">
        <f t="shared" si="265"/>
        <v>0</v>
      </c>
      <c r="L455" s="8">
        <f>SUM(L450:L454)</f>
        <v>6000</v>
      </c>
      <c r="M455" s="8"/>
      <c r="N455" s="8">
        <f>M450-L455</f>
        <v>8500</v>
      </c>
      <c r="O455" s="100"/>
      <c r="P455" s="8">
        <f>SUM(P450:P454)</f>
        <v>0</v>
      </c>
    </row>
    <row r="456" spans="1:16" ht="15" thickTop="1" x14ac:dyDescent="0.3">
      <c r="A456" s="248">
        <f t="shared" ref="A456" si="266">A450+1</f>
        <v>76</v>
      </c>
      <c r="B456" s="331" t="s">
        <v>813</v>
      </c>
      <c r="C456" s="256" t="s">
        <v>88</v>
      </c>
      <c r="D456" s="256" t="s">
        <v>814</v>
      </c>
      <c r="E456" s="292" t="s">
        <v>815</v>
      </c>
      <c r="F456" s="3">
        <v>7009</v>
      </c>
      <c r="G456" s="29" t="s">
        <v>812</v>
      </c>
      <c r="H456" s="20">
        <v>500</v>
      </c>
      <c r="I456" s="20">
        <v>7000</v>
      </c>
      <c r="J456" s="20">
        <v>3000</v>
      </c>
      <c r="K456" s="20"/>
      <c r="L456" s="20">
        <f>SUM(H456:K456)</f>
        <v>10500</v>
      </c>
      <c r="M456" s="241">
        <v>14500</v>
      </c>
      <c r="N456" s="20"/>
      <c r="O456" s="86" t="s">
        <v>295</v>
      </c>
      <c r="P456" s="20"/>
    </row>
    <row r="457" spans="1:16" x14ac:dyDescent="0.3">
      <c r="A457" s="241"/>
      <c r="B457" s="329"/>
      <c r="C457" s="257"/>
      <c r="D457" s="257"/>
      <c r="E457" s="287"/>
      <c r="F457" s="16"/>
      <c r="G457" s="4"/>
      <c r="H457" s="4"/>
      <c r="I457" s="4"/>
      <c r="J457" s="4"/>
      <c r="K457" s="4"/>
      <c r="L457" s="20">
        <f t="shared" ref="L457:L460" si="267">SUM(H457:K457)</f>
        <v>0</v>
      </c>
      <c r="M457" s="241"/>
      <c r="N457" s="4"/>
      <c r="O457" s="71"/>
      <c r="P457" s="4"/>
    </row>
    <row r="458" spans="1:16" x14ac:dyDescent="0.3">
      <c r="A458" s="241"/>
      <c r="B458" s="329"/>
      <c r="C458" s="257"/>
      <c r="D458" s="257"/>
      <c r="E458" s="287"/>
      <c r="F458" s="4"/>
      <c r="G458" s="4"/>
      <c r="H458" s="4"/>
      <c r="I458" s="4"/>
      <c r="J458" s="4"/>
      <c r="K458" s="4"/>
      <c r="L458" s="20">
        <f t="shared" si="267"/>
        <v>0</v>
      </c>
      <c r="M458" s="241"/>
      <c r="N458" s="4"/>
      <c r="O458" s="78"/>
      <c r="P458" s="4"/>
    </row>
    <row r="459" spans="1:16" x14ac:dyDescent="0.3">
      <c r="A459" s="241"/>
      <c r="B459" s="329"/>
      <c r="C459" s="257"/>
      <c r="D459" s="257"/>
      <c r="E459" s="287"/>
      <c r="F459" s="4"/>
      <c r="G459" s="4"/>
      <c r="H459" s="4"/>
      <c r="I459" s="4"/>
      <c r="J459" s="4"/>
      <c r="K459" s="4"/>
      <c r="L459" s="20">
        <f t="shared" si="267"/>
        <v>0</v>
      </c>
      <c r="M459" s="241"/>
      <c r="N459" s="4"/>
      <c r="O459" s="71"/>
      <c r="P459" s="4"/>
    </row>
    <row r="460" spans="1:16" ht="15" thickBot="1" x14ac:dyDescent="0.35">
      <c r="A460" s="241"/>
      <c r="B460" s="329"/>
      <c r="C460" s="257"/>
      <c r="D460" s="257"/>
      <c r="E460" s="287"/>
      <c r="F460" s="6"/>
      <c r="G460" s="6"/>
      <c r="H460" s="6"/>
      <c r="I460" s="6"/>
      <c r="J460" s="6"/>
      <c r="K460" s="6"/>
      <c r="L460" s="20">
        <f t="shared" si="267"/>
        <v>0</v>
      </c>
      <c r="M460" s="242"/>
      <c r="N460" s="6"/>
      <c r="O460" s="87"/>
      <c r="P460" s="6"/>
    </row>
    <row r="461" spans="1:16" ht="15.6" thickTop="1" thickBot="1" x14ac:dyDescent="0.35">
      <c r="A461" s="242"/>
      <c r="B461" s="330"/>
      <c r="C461" s="258"/>
      <c r="D461" s="258"/>
      <c r="E461" s="288"/>
      <c r="F461" s="243"/>
      <c r="G461" s="244"/>
      <c r="H461" s="8">
        <f t="shared" ref="H461:K461" si="268">SUM(H456:H460)</f>
        <v>500</v>
      </c>
      <c r="I461" s="8">
        <f t="shared" si="268"/>
        <v>7000</v>
      </c>
      <c r="J461" s="8">
        <f t="shared" si="268"/>
        <v>3000</v>
      </c>
      <c r="K461" s="8">
        <f t="shared" si="268"/>
        <v>0</v>
      </c>
      <c r="L461" s="8">
        <f>SUM(L456:L460)</f>
        <v>10500</v>
      </c>
      <c r="M461" s="8"/>
      <c r="N461" s="8">
        <f>M456-L461</f>
        <v>4000</v>
      </c>
      <c r="O461" s="100"/>
      <c r="P461" s="8">
        <f>SUM(P456:P460)</f>
        <v>0</v>
      </c>
    </row>
    <row r="462" spans="1:16" ht="15" thickTop="1" x14ac:dyDescent="0.3">
      <c r="A462" s="260">
        <f t="shared" ref="A462" si="269">A456+1</f>
        <v>77</v>
      </c>
      <c r="B462" s="279" t="s">
        <v>829</v>
      </c>
      <c r="C462" s="280" t="s">
        <v>386</v>
      </c>
      <c r="D462" s="280" t="s">
        <v>830</v>
      </c>
      <c r="E462" s="269" t="s">
        <v>831</v>
      </c>
      <c r="F462" s="39">
        <v>7015</v>
      </c>
      <c r="G462" s="47" t="s">
        <v>832</v>
      </c>
      <c r="H462" s="34">
        <v>500</v>
      </c>
      <c r="I462" s="34">
        <v>11000</v>
      </c>
      <c r="J462" s="34">
        <v>3000</v>
      </c>
      <c r="K462" s="34"/>
      <c r="L462" s="34">
        <f>SUM(H462:K462)</f>
        <v>14500</v>
      </c>
      <c r="M462" s="249">
        <v>14500</v>
      </c>
      <c r="N462" s="34"/>
      <c r="O462" s="94" t="s">
        <v>295</v>
      </c>
      <c r="P462" s="34"/>
    </row>
    <row r="463" spans="1:16" x14ac:dyDescent="0.3">
      <c r="A463" s="249"/>
      <c r="B463" s="277"/>
      <c r="C463" s="267"/>
      <c r="D463" s="267"/>
      <c r="E463" s="265"/>
      <c r="F463" s="31"/>
      <c r="G463" s="36"/>
      <c r="H463" s="36"/>
      <c r="I463" s="36"/>
      <c r="J463" s="36"/>
      <c r="K463" s="36"/>
      <c r="L463" s="34">
        <f t="shared" ref="L463:L466" si="270">SUM(H463:K463)</f>
        <v>0</v>
      </c>
      <c r="M463" s="249"/>
      <c r="N463" s="36"/>
      <c r="O463" s="73"/>
      <c r="P463" s="36"/>
    </row>
    <row r="464" spans="1:16" x14ac:dyDescent="0.3">
      <c r="A464" s="249"/>
      <c r="B464" s="277"/>
      <c r="C464" s="267"/>
      <c r="D464" s="267"/>
      <c r="E464" s="265"/>
      <c r="F464" s="36"/>
      <c r="G464" s="36"/>
      <c r="H464" s="36"/>
      <c r="I464" s="36"/>
      <c r="J464" s="36"/>
      <c r="K464" s="36"/>
      <c r="L464" s="34">
        <f t="shared" si="270"/>
        <v>0</v>
      </c>
      <c r="M464" s="249"/>
      <c r="N464" s="36"/>
      <c r="O464" s="81"/>
      <c r="P464" s="36"/>
    </row>
    <row r="465" spans="1:16" x14ac:dyDescent="0.3">
      <c r="A465" s="249"/>
      <c r="B465" s="277"/>
      <c r="C465" s="267"/>
      <c r="D465" s="267"/>
      <c r="E465" s="265"/>
      <c r="F465" s="36"/>
      <c r="G465" s="36"/>
      <c r="H465" s="36"/>
      <c r="I465" s="36"/>
      <c r="J465" s="36"/>
      <c r="K465" s="36"/>
      <c r="L465" s="34">
        <f t="shared" si="270"/>
        <v>0</v>
      </c>
      <c r="M465" s="249"/>
      <c r="N465" s="36"/>
      <c r="O465" s="73"/>
      <c r="P465" s="36"/>
    </row>
    <row r="466" spans="1:16" ht="15" thickBot="1" x14ac:dyDescent="0.35">
      <c r="A466" s="249"/>
      <c r="B466" s="277"/>
      <c r="C466" s="267"/>
      <c r="D466" s="267"/>
      <c r="E466" s="265"/>
      <c r="F466" s="41"/>
      <c r="G466" s="41"/>
      <c r="H466" s="41"/>
      <c r="I466" s="41"/>
      <c r="J466" s="41"/>
      <c r="K466" s="41"/>
      <c r="L466" s="34">
        <f t="shared" si="270"/>
        <v>0</v>
      </c>
      <c r="M466" s="250"/>
      <c r="N466" s="41"/>
      <c r="O466" s="93"/>
      <c r="P466" s="41"/>
    </row>
    <row r="467" spans="1:16" ht="15.6" thickTop="1" thickBot="1" x14ac:dyDescent="0.35">
      <c r="A467" s="250"/>
      <c r="B467" s="278"/>
      <c r="C467" s="268"/>
      <c r="D467" s="268"/>
      <c r="E467" s="266"/>
      <c r="F467" s="251"/>
      <c r="G467" s="252"/>
      <c r="H467" s="14">
        <f t="shared" ref="H467:K467" si="271">SUM(H462:H466)</f>
        <v>500</v>
      </c>
      <c r="I467" s="14">
        <f t="shared" si="271"/>
        <v>11000</v>
      </c>
      <c r="J467" s="14">
        <f t="shared" si="271"/>
        <v>3000</v>
      </c>
      <c r="K467" s="14">
        <f t="shared" si="271"/>
        <v>0</v>
      </c>
      <c r="L467" s="14">
        <f>SUM(L462:L466)</f>
        <v>14500</v>
      </c>
      <c r="M467" s="14"/>
      <c r="N467" s="14">
        <f>M462-L467</f>
        <v>0</v>
      </c>
      <c r="O467" s="111"/>
      <c r="P467" s="14">
        <f>SUM(P462:P466)</f>
        <v>0</v>
      </c>
    </row>
    <row r="468" spans="1:16" ht="15.75" customHeight="1" thickTop="1" x14ac:dyDescent="0.3">
      <c r="A468" s="248">
        <f t="shared" ref="A468" si="272">A462+1</f>
        <v>78</v>
      </c>
      <c r="B468" s="283" t="s">
        <v>868</v>
      </c>
      <c r="C468" s="286" t="s">
        <v>277</v>
      </c>
      <c r="D468" s="256" t="s">
        <v>814</v>
      </c>
      <c r="E468" s="297" t="s">
        <v>831</v>
      </c>
      <c r="F468" s="3">
        <v>7017</v>
      </c>
      <c r="G468" s="29" t="s">
        <v>832</v>
      </c>
      <c r="H468" s="20">
        <v>500</v>
      </c>
      <c r="I468" s="20">
        <v>3000</v>
      </c>
      <c r="J468" s="20"/>
      <c r="K468" s="20"/>
      <c r="L468" s="20">
        <f>SUM(H468:K468)</f>
        <v>3500</v>
      </c>
      <c r="M468" s="241">
        <v>14500</v>
      </c>
      <c r="N468" s="20"/>
      <c r="O468" s="86"/>
      <c r="P468" s="20">
        <v>1500</v>
      </c>
    </row>
    <row r="469" spans="1:16" x14ac:dyDescent="0.3">
      <c r="A469" s="241"/>
      <c r="B469" s="284"/>
      <c r="C469" s="287"/>
      <c r="D469" s="257"/>
      <c r="E469" s="287"/>
      <c r="F469" s="16"/>
      <c r="G469" s="4"/>
      <c r="H469" s="4"/>
      <c r="I469" s="4"/>
      <c r="J469" s="4"/>
      <c r="K469" s="4"/>
      <c r="L469" s="20">
        <f t="shared" ref="L469:L472" si="273">SUM(H469:K469)</f>
        <v>0</v>
      </c>
      <c r="M469" s="241"/>
      <c r="N469" s="4"/>
      <c r="O469" s="71"/>
      <c r="P469" s="4"/>
    </row>
    <row r="470" spans="1:16" x14ac:dyDescent="0.3">
      <c r="A470" s="241"/>
      <c r="B470" s="284"/>
      <c r="C470" s="287"/>
      <c r="D470" s="257"/>
      <c r="E470" s="287"/>
      <c r="F470" s="4"/>
      <c r="G470" s="4"/>
      <c r="H470" s="4"/>
      <c r="I470" s="4"/>
      <c r="J470" s="4"/>
      <c r="K470" s="4"/>
      <c r="L470" s="20">
        <f t="shared" si="273"/>
        <v>0</v>
      </c>
      <c r="M470" s="241"/>
      <c r="N470" s="4"/>
      <c r="O470" s="78"/>
      <c r="P470" s="4"/>
    </row>
    <row r="471" spans="1:16" x14ac:dyDescent="0.3">
      <c r="A471" s="241"/>
      <c r="B471" s="284"/>
      <c r="C471" s="287"/>
      <c r="D471" s="257"/>
      <c r="E471" s="287"/>
      <c r="F471" s="4"/>
      <c r="G471" s="4"/>
      <c r="H471" s="4"/>
      <c r="I471" s="4"/>
      <c r="J471" s="4"/>
      <c r="K471" s="4"/>
      <c r="L471" s="20">
        <f t="shared" si="273"/>
        <v>0</v>
      </c>
      <c r="M471" s="241"/>
      <c r="N471" s="4"/>
      <c r="O471" s="71"/>
      <c r="P471" s="4"/>
    </row>
    <row r="472" spans="1:16" ht="15" thickBot="1" x14ac:dyDescent="0.35">
      <c r="A472" s="241"/>
      <c r="B472" s="284"/>
      <c r="C472" s="287"/>
      <c r="D472" s="257"/>
      <c r="E472" s="287"/>
      <c r="F472" s="6"/>
      <c r="G472" s="6"/>
      <c r="H472" s="6"/>
      <c r="I472" s="6"/>
      <c r="J472" s="6"/>
      <c r="K472" s="6"/>
      <c r="L472" s="20">
        <f t="shared" si="273"/>
        <v>0</v>
      </c>
      <c r="M472" s="242"/>
      <c r="N472" s="6"/>
      <c r="O472" s="87"/>
      <c r="P472" s="6"/>
    </row>
    <row r="473" spans="1:16" ht="15.6" thickTop="1" thickBot="1" x14ac:dyDescent="0.35">
      <c r="A473" s="242"/>
      <c r="B473" s="285"/>
      <c r="C473" s="288"/>
      <c r="D473" s="258"/>
      <c r="E473" s="288"/>
      <c r="F473" s="243"/>
      <c r="G473" s="244"/>
      <c r="H473" s="8">
        <f t="shared" ref="H473:K473" si="274">SUM(H468:H472)</f>
        <v>500</v>
      </c>
      <c r="I473" s="8">
        <f t="shared" si="274"/>
        <v>3000</v>
      </c>
      <c r="J473" s="8">
        <f t="shared" si="274"/>
        <v>0</v>
      </c>
      <c r="K473" s="8">
        <f t="shared" si="274"/>
        <v>0</v>
      </c>
      <c r="L473" s="8">
        <f>SUM(L468:L472)</f>
        <v>3500</v>
      </c>
      <c r="M473" s="8"/>
      <c r="N473" s="8">
        <f>M468-L473</f>
        <v>11000</v>
      </c>
      <c r="O473" s="100"/>
      <c r="P473" s="8">
        <f>SUM(P468:P472)</f>
        <v>1500</v>
      </c>
    </row>
    <row r="474" spans="1:16" ht="15" thickTop="1" x14ac:dyDescent="0.3">
      <c r="A474" s="260">
        <f t="shared" ref="A474" si="275">A468+1</f>
        <v>79</v>
      </c>
      <c r="B474" s="261" t="s">
        <v>887</v>
      </c>
      <c r="C474" s="264" t="s">
        <v>367</v>
      </c>
      <c r="D474" s="280" t="s">
        <v>888</v>
      </c>
      <c r="E474" s="269" t="s">
        <v>889</v>
      </c>
      <c r="F474" s="39">
        <v>7042</v>
      </c>
      <c r="G474" s="47" t="s">
        <v>890</v>
      </c>
      <c r="H474" s="34">
        <v>500</v>
      </c>
      <c r="I474" s="34">
        <v>11000</v>
      </c>
      <c r="J474" s="34">
        <v>3000</v>
      </c>
      <c r="K474" s="34"/>
      <c r="L474" s="34">
        <f>SUM(H474:K474)</f>
        <v>14500</v>
      </c>
      <c r="M474" s="249">
        <v>14500</v>
      </c>
      <c r="N474" s="34"/>
      <c r="O474" s="94"/>
      <c r="P474" s="34">
        <v>1500</v>
      </c>
    </row>
    <row r="475" spans="1:16" x14ac:dyDescent="0.3">
      <c r="A475" s="249"/>
      <c r="B475" s="262"/>
      <c r="C475" s="265"/>
      <c r="D475" s="267"/>
      <c r="E475" s="265"/>
      <c r="F475" s="31"/>
      <c r="G475" s="36"/>
      <c r="H475" s="36"/>
      <c r="I475" s="36"/>
      <c r="J475" s="36"/>
      <c r="K475" s="36"/>
      <c r="L475" s="34">
        <f t="shared" ref="L475:L478" si="276">SUM(H475:K475)</f>
        <v>0</v>
      </c>
      <c r="M475" s="249"/>
      <c r="N475" s="36"/>
      <c r="O475" s="73"/>
      <c r="P475" s="36"/>
    </row>
    <row r="476" spans="1:16" x14ac:dyDescent="0.3">
      <c r="A476" s="249"/>
      <c r="B476" s="262"/>
      <c r="C476" s="265"/>
      <c r="D476" s="267"/>
      <c r="E476" s="265"/>
      <c r="F476" s="36"/>
      <c r="G476" s="36"/>
      <c r="H476" s="36"/>
      <c r="I476" s="36"/>
      <c r="J476" s="36"/>
      <c r="K476" s="36"/>
      <c r="L476" s="34">
        <f t="shared" si="276"/>
        <v>0</v>
      </c>
      <c r="M476" s="249"/>
      <c r="N476" s="36"/>
      <c r="O476" s="81"/>
      <c r="P476" s="36"/>
    </row>
    <row r="477" spans="1:16" x14ac:dyDescent="0.3">
      <c r="A477" s="249"/>
      <c r="B477" s="262"/>
      <c r="C477" s="265"/>
      <c r="D477" s="267"/>
      <c r="E477" s="265"/>
      <c r="F477" s="36"/>
      <c r="G477" s="36"/>
      <c r="H477" s="36"/>
      <c r="I477" s="36"/>
      <c r="J477" s="36"/>
      <c r="K477" s="36"/>
      <c r="L477" s="34">
        <f t="shared" si="276"/>
        <v>0</v>
      </c>
      <c r="M477" s="249"/>
      <c r="N477" s="36"/>
      <c r="O477" s="73"/>
      <c r="P477" s="36"/>
    </row>
    <row r="478" spans="1:16" ht="15" thickBot="1" x14ac:dyDescent="0.35">
      <c r="A478" s="249"/>
      <c r="B478" s="262"/>
      <c r="C478" s="265"/>
      <c r="D478" s="267"/>
      <c r="E478" s="265"/>
      <c r="F478" s="41"/>
      <c r="G478" s="41"/>
      <c r="H478" s="41"/>
      <c r="I478" s="41"/>
      <c r="J478" s="41"/>
      <c r="K478" s="41"/>
      <c r="L478" s="34">
        <f t="shared" si="276"/>
        <v>0</v>
      </c>
      <c r="M478" s="250"/>
      <c r="N478" s="41"/>
      <c r="O478" s="93"/>
      <c r="P478" s="41"/>
    </row>
    <row r="479" spans="1:16" ht="15.6" thickTop="1" thickBot="1" x14ac:dyDescent="0.35">
      <c r="A479" s="250"/>
      <c r="B479" s="263"/>
      <c r="C479" s="266"/>
      <c r="D479" s="268"/>
      <c r="E479" s="266"/>
      <c r="F479" s="251"/>
      <c r="G479" s="252"/>
      <c r="H479" s="14">
        <f t="shared" ref="H479:K479" si="277">SUM(H474:H478)</f>
        <v>500</v>
      </c>
      <c r="I479" s="14">
        <f t="shared" si="277"/>
        <v>11000</v>
      </c>
      <c r="J479" s="14">
        <f t="shared" si="277"/>
        <v>3000</v>
      </c>
      <c r="K479" s="14">
        <f t="shared" si="277"/>
        <v>0</v>
      </c>
      <c r="L479" s="14">
        <f>SUM(L474:L478)</f>
        <v>14500</v>
      </c>
      <c r="M479" s="14"/>
      <c r="N479" s="14">
        <f>M474-L479</f>
        <v>0</v>
      </c>
      <c r="O479" s="111"/>
      <c r="P479" s="14">
        <f>SUM(P474:P478)</f>
        <v>1500</v>
      </c>
    </row>
    <row r="480" spans="1:16" ht="15" thickTop="1" x14ac:dyDescent="0.3">
      <c r="A480" s="248">
        <f t="shared" ref="A480" si="278">A474+1</f>
        <v>80</v>
      </c>
      <c r="B480" s="337"/>
      <c r="C480" s="286" t="s">
        <v>316</v>
      </c>
      <c r="D480" s="339"/>
      <c r="E480" s="297"/>
      <c r="F480" s="3"/>
      <c r="G480" s="29"/>
      <c r="H480" s="20"/>
      <c r="I480" s="20"/>
      <c r="J480" s="20"/>
      <c r="K480" s="20"/>
      <c r="L480" s="20">
        <f>SUM(H480:K480)</f>
        <v>0</v>
      </c>
      <c r="M480" s="241"/>
      <c r="N480" s="20"/>
      <c r="O480" s="86" t="s">
        <v>295</v>
      </c>
      <c r="P480" s="20"/>
    </row>
    <row r="481" spans="1:16" x14ac:dyDescent="0.3">
      <c r="A481" s="241"/>
      <c r="B481" s="284"/>
      <c r="C481" s="287"/>
      <c r="D481" s="339"/>
      <c r="E481" s="287"/>
      <c r="F481" s="16"/>
      <c r="G481" s="4"/>
      <c r="H481" s="4"/>
      <c r="I481" s="4"/>
      <c r="J481" s="4"/>
      <c r="K481" s="4"/>
      <c r="L481" s="20">
        <f t="shared" ref="L481:L484" si="279">SUM(H481:K481)</f>
        <v>0</v>
      </c>
      <c r="M481" s="241"/>
      <c r="N481" s="4"/>
      <c r="O481" s="71"/>
      <c r="P481" s="4"/>
    </row>
    <row r="482" spans="1:16" x14ac:dyDescent="0.3">
      <c r="A482" s="241"/>
      <c r="B482" s="284"/>
      <c r="C482" s="287"/>
      <c r="D482" s="339"/>
      <c r="E482" s="287"/>
      <c r="F482" s="4"/>
      <c r="G482" s="4"/>
      <c r="H482" s="4"/>
      <c r="I482" s="4"/>
      <c r="J482" s="4"/>
      <c r="K482" s="4"/>
      <c r="L482" s="20">
        <f t="shared" si="279"/>
        <v>0</v>
      </c>
      <c r="M482" s="241"/>
      <c r="N482" s="4"/>
      <c r="O482" s="78"/>
      <c r="P482" s="4"/>
    </row>
    <row r="483" spans="1:16" x14ac:dyDescent="0.3">
      <c r="A483" s="241"/>
      <c r="B483" s="284"/>
      <c r="C483" s="287"/>
      <c r="D483" s="339"/>
      <c r="E483" s="287"/>
      <c r="F483" s="4"/>
      <c r="G483" s="4"/>
      <c r="H483" s="4"/>
      <c r="I483" s="4"/>
      <c r="J483" s="4"/>
      <c r="K483" s="4"/>
      <c r="L483" s="20">
        <f t="shared" si="279"/>
        <v>0</v>
      </c>
      <c r="M483" s="241"/>
      <c r="N483" s="4"/>
      <c r="O483" s="71"/>
      <c r="P483" s="4"/>
    </row>
    <row r="484" spans="1:16" ht="15" thickBot="1" x14ac:dyDescent="0.35">
      <c r="A484" s="241"/>
      <c r="B484" s="284"/>
      <c r="C484" s="287"/>
      <c r="D484" s="339"/>
      <c r="E484" s="287"/>
      <c r="F484" s="6"/>
      <c r="G484" s="6"/>
      <c r="H484" s="6"/>
      <c r="I484" s="6"/>
      <c r="J484" s="6"/>
      <c r="K484" s="6"/>
      <c r="L484" s="20">
        <f t="shared" si="279"/>
        <v>0</v>
      </c>
      <c r="M484" s="242"/>
      <c r="N484" s="6"/>
      <c r="O484" s="87"/>
      <c r="P484" s="6"/>
    </row>
    <row r="485" spans="1:16" ht="15.6" thickTop="1" thickBot="1" x14ac:dyDescent="0.35">
      <c r="A485" s="242"/>
      <c r="B485" s="285"/>
      <c r="C485" s="338"/>
      <c r="D485" s="339"/>
      <c r="E485" s="288"/>
      <c r="F485" s="243"/>
      <c r="G485" s="244"/>
      <c r="H485" s="8">
        <f t="shared" ref="H485:K485" si="280">SUM(H480:H484)</f>
        <v>0</v>
      </c>
      <c r="I485" s="8">
        <f t="shared" si="280"/>
        <v>0</v>
      </c>
      <c r="J485" s="8">
        <f t="shared" si="280"/>
        <v>0</v>
      </c>
      <c r="K485" s="8">
        <f t="shared" si="280"/>
        <v>0</v>
      </c>
      <c r="L485" s="8">
        <f>SUM(L480:L484)</f>
        <v>0</v>
      </c>
      <c r="M485" s="8"/>
      <c r="N485" s="8">
        <f>M480-L485</f>
        <v>0</v>
      </c>
      <c r="O485" s="100"/>
      <c r="P485" s="8">
        <f>SUM(P480:P484)</f>
        <v>0</v>
      </c>
    </row>
    <row r="486" spans="1:16" ht="15" thickTop="1" x14ac:dyDescent="0.3">
      <c r="A486" s="260">
        <f t="shared" ref="A486" si="281">A480+1</f>
        <v>81</v>
      </c>
      <c r="B486" s="261"/>
      <c r="C486" s="264"/>
      <c r="D486" s="280"/>
      <c r="E486" s="269"/>
      <c r="F486" s="39"/>
      <c r="G486" s="47"/>
      <c r="H486" s="34"/>
      <c r="I486" s="34"/>
      <c r="J486" s="34"/>
      <c r="K486" s="34"/>
      <c r="L486" s="34">
        <f>SUM(H486:K486)</f>
        <v>0</v>
      </c>
      <c r="M486" s="249"/>
      <c r="N486" s="34"/>
      <c r="O486" s="94"/>
      <c r="P486" s="34"/>
    </row>
    <row r="487" spans="1:16" x14ac:dyDescent="0.3">
      <c r="A487" s="249"/>
      <c r="B487" s="262"/>
      <c r="C487" s="265"/>
      <c r="D487" s="267"/>
      <c r="E487" s="265"/>
      <c r="F487" s="31"/>
      <c r="G487" s="36"/>
      <c r="H487" s="36"/>
      <c r="I487" s="36"/>
      <c r="J487" s="36"/>
      <c r="K487" s="36"/>
      <c r="L487" s="34">
        <f t="shared" ref="L487:L490" si="282">SUM(H487:K487)</f>
        <v>0</v>
      </c>
      <c r="M487" s="249"/>
      <c r="N487" s="36"/>
      <c r="O487" s="73"/>
      <c r="P487" s="36"/>
    </row>
    <row r="488" spans="1:16" x14ac:dyDescent="0.3">
      <c r="A488" s="249"/>
      <c r="B488" s="262"/>
      <c r="C488" s="265"/>
      <c r="D488" s="267"/>
      <c r="E488" s="265"/>
      <c r="F488" s="36"/>
      <c r="G488" s="36"/>
      <c r="H488" s="36"/>
      <c r="I488" s="36"/>
      <c r="J488" s="36"/>
      <c r="K488" s="36"/>
      <c r="L488" s="34">
        <f t="shared" si="282"/>
        <v>0</v>
      </c>
      <c r="M488" s="249"/>
      <c r="N488" s="36"/>
      <c r="O488" s="81"/>
      <c r="P488" s="36"/>
    </row>
    <row r="489" spans="1:16" x14ac:dyDescent="0.3">
      <c r="A489" s="249"/>
      <c r="B489" s="262"/>
      <c r="C489" s="265"/>
      <c r="D489" s="267"/>
      <c r="E489" s="265"/>
      <c r="F489" s="36"/>
      <c r="G489" s="36"/>
      <c r="H489" s="36"/>
      <c r="I489" s="36"/>
      <c r="J489" s="36"/>
      <c r="K489" s="36"/>
      <c r="L489" s="34">
        <f t="shared" si="282"/>
        <v>0</v>
      </c>
      <c r="M489" s="249"/>
      <c r="N489" s="36"/>
      <c r="O489" s="73"/>
      <c r="P489" s="36"/>
    </row>
    <row r="490" spans="1:16" ht="15" thickBot="1" x14ac:dyDescent="0.35">
      <c r="A490" s="249"/>
      <c r="B490" s="262"/>
      <c r="C490" s="265"/>
      <c r="D490" s="267"/>
      <c r="E490" s="265"/>
      <c r="F490" s="41"/>
      <c r="G490" s="41"/>
      <c r="H490" s="41"/>
      <c r="I490" s="41"/>
      <c r="J490" s="41"/>
      <c r="K490" s="41"/>
      <c r="L490" s="34">
        <f t="shared" si="282"/>
        <v>0</v>
      </c>
      <c r="M490" s="250"/>
      <c r="N490" s="41"/>
      <c r="O490" s="93"/>
      <c r="P490" s="41"/>
    </row>
    <row r="491" spans="1:16" ht="15.6" thickTop="1" thickBot="1" x14ac:dyDescent="0.35">
      <c r="A491" s="250"/>
      <c r="B491" s="263"/>
      <c r="C491" s="266"/>
      <c r="D491" s="268"/>
      <c r="E491" s="266"/>
      <c r="F491" s="251"/>
      <c r="G491" s="252"/>
      <c r="H491" s="14">
        <f t="shared" ref="H491:K491" si="283">SUM(H486:H490)</f>
        <v>0</v>
      </c>
      <c r="I491" s="14">
        <f t="shared" si="283"/>
        <v>0</v>
      </c>
      <c r="J491" s="14">
        <f t="shared" si="283"/>
        <v>0</v>
      </c>
      <c r="K491" s="14">
        <f t="shared" si="283"/>
        <v>0</v>
      </c>
      <c r="L491" s="14">
        <f>SUM(L486:L490)</f>
        <v>0</v>
      </c>
      <c r="M491" s="14"/>
      <c r="N491" s="14">
        <f>M486-L491</f>
        <v>0</v>
      </c>
      <c r="O491" s="111"/>
      <c r="P491" s="14">
        <f>SUM(P486:P490)</f>
        <v>0</v>
      </c>
    </row>
    <row r="492" spans="1:16" ht="15" thickTop="1" x14ac:dyDescent="0.3">
      <c r="A492" s="260">
        <f t="shared" ref="A492" si="284">A486+1</f>
        <v>82</v>
      </c>
      <c r="B492" s="312"/>
      <c r="C492" s="264"/>
      <c r="D492" s="280"/>
      <c r="E492" s="269"/>
      <c r="F492" s="39"/>
      <c r="G492" s="47"/>
      <c r="H492" s="34"/>
      <c r="I492" s="34"/>
      <c r="J492" s="34"/>
      <c r="K492" s="34"/>
      <c r="L492" s="34">
        <f>SUM(H492:K492)</f>
        <v>0</v>
      </c>
      <c r="M492" s="249"/>
      <c r="N492" s="34"/>
      <c r="O492" s="94"/>
      <c r="P492" s="34"/>
    </row>
    <row r="493" spans="1:16" x14ac:dyDescent="0.3">
      <c r="A493" s="249"/>
      <c r="B493" s="313"/>
      <c r="C493" s="265"/>
      <c r="D493" s="267"/>
      <c r="E493" s="265"/>
      <c r="F493" s="31"/>
      <c r="G493" s="36"/>
      <c r="H493" s="36"/>
      <c r="I493" s="36"/>
      <c r="J493" s="36"/>
      <c r="K493" s="36"/>
      <c r="L493" s="34">
        <f t="shared" ref="L493:L495" si="285">SUM(H493:K493)</f>
        <v>0</v>
      </c>
      <c r="M493" s="249"/>
      <c r="N493" s="36"/>
      <c r="O493" s="73"/>
      <c r="P493" s="36"/>
    </row>
    <row r="494" spans="1:16" x14ac:dyDescent="0.3">
      <c r="A494" s="249"/>
      <c r="B494" s="313"/>
      <c r="C494" s="265"/>
      <c r="D494" s="267"/>
      <c r="E494" s="265"/>
      <c r="F494" s="36"/>
      <c r="G494" s="36"/>
      <c r="H494" s="36"/>
      <c r="I494" s="36"/>
      <c r="J494" s="36"/>
      <c r="K494" s="36"/>
      <c r="L494" s="34">
        <f t="shared" si="285"/>
        <v>0</v>
      </c>
      <c r="M494" s="249"/>
      <c r="N494" s="36"/>
      <c r="O494" s="81"/>
      <c r="P494" s="36"/>
    </row>
    <row r="495" spans="1:16" x14ac:dyDescent="0.3">
      <c r="A495" s="249"/>
      <c r="B495" s="313"/>
      <c r="C495" s="265"/>
      <c r="D495" s="267"/>
      <c r="E495" s="265"/>
      <c r="F495" s="36"/>
      <c r="G495" s="36"/>
      <c r="H495" s="36"/>
      <c r="I495" s="36"/>
      <c r="J495" s="36"/>
      <c r="K495" s="36"/>
      <c r="L495" s="34">
        <f t="shared" si="285"/>
        <v>0</v>
      </c>
      <c r="M495" s="249"/>
      <c r="N495" s="36"/>
      <c r="O495" s="73"/>
      <c r="P495" s="36"/>
    </row>
    <row r="496" spans="1:16" x14ac:dyDescent="0.3">
      <c r="A496" s="249"/>
      <c r="B496" s="313"/>
      <c r="C496" s="265"/>
      <c r="D496" s="267"/>
      <c r="E496" s="265"/>
      <c r="F496" s="196"/>
      <c r="G496" s="196"/>
      <c r="H496" s="196"/>
      <c r="I496" s="196"/>
      <c r="J496" s="196"/>
      <c r="K496" s="196"/>
      <c r="L496" s="198"/>
      <c r="M496" s="249"/>
      <c r="N496" s="196"/>
      <c r="O496" s="197"/>
      <c r="P496" s="196"/>
    </row>
    <row r="497" spans="1:16" ht="15" thickBot="1" x14ac:dyDescent="0.35">
      <c r="A497" s="250"/>
      <c r="B497" s="314"/>
      <c r="C497" s="266"/>
      <c r="D497" s="268"/>
      <c r="E497" s="266"/>
      <c r="F497" s="332"/>
      <c r="G497" s="332"/>
      <c r="H497" s="57">
        <f t="shared" ref="H497:K497" si="286">SUM(H492:H496)</f>
        <v>0</v>
      </c>
      <c r="I497" s="57">
        <f t="shared" si="286"/>
        <v>0</v>
      </c>
      <c r="J497" s="57">
        <f t="shared" si="286"/>
        <v>0</v>
      </c>
      <c r="K497" s="57">
        <f t="shared" si="286"/>
        <v>0</v>
      </c>
      <c r="L497" s="57">
        <f>SUM(L492:L496)</f>
        <v>0</v>
      </c>
      <c r="M497" s="57"/>
      <c r="N497" s="57">
        <f>M492-L497</f>
        <v>0</v>
      </c>
      <c r="O497" s="145"/>
      <c r="P497" s="57">
        <f>SUM(P492:P496)</f>
        <v>0</v>
      </c>
    </row>
    <row r="498" spans="1:16" ht="16.8" thickTop="1" thickBot="1" x14ac:dyDescent="0.35">
      <c r="A498" s="333" t="s">
        <v>15</v>
      </c>
      <c r="B498" s="334"/>
      <c r="C498" s="334"/>
      <c r="D498" s="334"/>
      <c r="E498" s="334"/>
      <c r="F498" s="335"/>
      <c r="G498" s="336"/>
      <c r="H498" s="200">
        <f t="shared" ref="H498:L498" si="287">+H491+H485+H479+H473+H467+H461+H455+H449+H443+H437+H431+H425+H419+H413+H407+H401+H395+H389+H383+H377+H371+H365+H359+H353+H347+H341+H335+H329+H323+H317+H311+H305+H299+H293+H287+H281+H275+H269+H263+H257+H251+H245+H239+H233+H227+H221+H215+H209+H203+H197+H191+H185+H179+H173+H167+H161+H155+H149+H143+H137+H131+H125+H119+H113+H107+H101+H95+H89+H83++H77+H71+H65+H59+H53+H47+H41+H35+H29+H23+H17+H11+H497</f>
        <v>38500</v>
      </c>
      <c r="I498" s="200">
        <f t="shared" si="287"/>
        <v>543500</v>
      </c>
      <c r="J498" s="200">
        <f t="shared" si="287"/>
        <v>219000</v>
      </c>
      <c r="K498" s="200">
        <f t="shared" si="287"/>
        <v>0</v>
      </c>
      <c r="L498" s="200">
        <f t="shared" si="287"/>
        <v>801000</v>
      </c>
      <c r="M498" s="199">
        <f>+M492+M486+M480+M474+M468+M462+M456+M450+M444+M438+M432+M426+M420+M414+M408+M402+M396+M390+M384+M378+M372+M366+M360+M354+M348+M342+M336++M330+M324+M318+M312+M306+M300+M294+M288+M282+M276+M270+M264+M258+M252+M246+M240+M234+M228+M222+M216+M210+M204+M198+M192+M186+M180+M174+M168+M162+M156+M150+M144+M138+M132+M126+M120+M114+M108+M102+M96+M90+M84+M78+M72+M66+M60+M54+M48+M42+M36+M30+M24+M18+M12+M6</f>
        <v>1125700</v>
      </c>
      <c r="N498" s="200">
        <f>+N491+N485+N479+N473+N467+N461+N455+N449+N443+N437+N431+N425+N419+N413+N407+N401+N395+N389+N383+N377+N371+N365+N359+N353+N347+N341+N335+N329+N323+N317+N311+N305+N299+N293+N287+N281+N275+N269+N263+N257+N251+N245+N239+N233+N227+N221+N215+N209+N203+N197+N191+N185+N179+N173+N167+N161+N155+N149+N143+N137+N131+N125+N119+N113+N107+N101+N95+N89+N83++N77+N71+N65+N59+N53+N47+N41+N35+N29+N23+N17+N11+N497</f>
        <v>324700</v>
      </c>
      <c r="O498" s="201"/>
      <c r="P498" s="200">
        <f>+P491+P485+P479+P473+P467+P461+P455+P449+P443+P437+P431+P425+P419+P413+P407+P401+P395+P389+P383+P377+P371+P365+P359+P353+P347+P341+P335+P329+P323+P317+P311+P305+P299+P293+P287+P281+P275+P269+P263+P257+P251+P245+P239+P233+P227+P221+P215+P209+P203+P197+P191+P185+P179+P173+P167+P161+P155+P149+P143+P137+P131+P125+P119+P113+P107+P101+P95+P89+P83++P77+P71+P65+P59+P53+P47+P41+P35+P29+P23+P17+P11+P497</f>
        <v>64500</v>
      </c>
    </row>
    <row r="499" spans="1:16" ht="15" thickTop="1" x14ac:dyDescent="0.3"/>
  </sheetData>
  <mergeCells count="579">
    <mergeCell ref="F497:G497"/>
    <mergeCell ref="A498:G498"/>
    <mergeCell ref="A492:A497"/>
    <mergeCell ref="B492:B497"/>
    <mergeCell ref="C492:C497"/>
    <mergeCell ref="D492:D497"/>
    <mergeCell ref="E492:E497"/>
    <mergeCell ref="M492:M496"/>
    <mergeCell ref="A480:A485"/>
    <mergeCell ref="B480:B485"/>
    <mergeCell ref="C480:C485"/>
    <mergeCell ref="D480:D485"/>
    <mergeCell ref="E480:E485"/>
    <mergeCell ref="M480:M484"/>
    <mergeCell ref="F485:G485"/>
    <mergeCell ref="A486:A491"/>
    <mergeCell ref="B486:B491"/>
    <mergeCell ref="C486:C491"/>
    <mergeCell ref="D486:D491"/>
    <mergeCell ref="E486:E491"/>
    <mergeCell ref="M486:M490"/>
    <mergeCell ref="F491:G491"/>
    <mergeCell ref="A468:A473"/>
    <mergeCell ref="B468:B473"/>
    <mergeCell ref="C468:C473"/>
    <mergeCell ref="D468:D473"/>
    <mergeCell ref="E468:E473"/>
    <mergeCell ref="M468:M472"/>
    <mergeCell ref="F473:G473"/>
    <mergeCell ref="A474:A479"/>
    <mergeCell ref="B474:B479"/>
    <mergeCell ref="C474:C479"/>
    <mergeCell ref="D474:D479"/>
    <mergeCell ref="E474:E479"/>
    <mergeCell ref="M474:M478"/>
    <mergeCell ref="F479:G479"/>
    <mergeCell ref="A456:A461"/>
    <mergeCell ref="B456:B461"/>
    <mergeCell ref="C456:C461"/>
    <mergeCell ref="D456:D461"/>
    <mergeCell ref="E456:E461"/>
    <mergeCell ref="M456:M460"/>
    <mergeCell ref="F461:G461"/>
    <mergeCell ref="A462:A467"/>
    <mergeCell ref="B462:B467"/>
    <mergeCell ref="C462:C467"/>
    <mergeCell ref="D462:D467"/>
    <mergeCell ref="E462:E467"/>
    <mergeCell ref="M462:M466"/>
    <mergeCell ref="F467:G467"/>
    <mergeCell ref="A444:A449"/>
    <mergeCell ref="B444:B449"/>
    <mergeCell ref="C444:C449"/>
    <mergeCell ref="D444:D449"/>
    <mergeCell ref="E444:E449"/>
    <mergeCell ref="M444:M448"/>
    <mergeCell ref="F449:G449"/>
    <mergeCell ref="A450:A455"/>
    <mergeCell ref="B450:B455"/>
    <mergeCell ref="C450:C455"/>
    <mergeCell ref="D450:D455"/>
    <mergeCell ref="E450:E455"/>
    <mergeCell ref="M450:M454"/>
    <mergeCell ref="F455:G455"/>
    <mergeCell ref="A432:A437"/>
    <mergeCell ref="B432:B437"/>
    <mergeCell ref="C432:C437"/>
    <mergeCell ref="D432:D437"/>
    <mergeCell ref="E432:E437"/>
    <mergeCell ref="M432:M436"/>
    <mergeCell ref="F437:G437"/>
    <mergeCell ref="A438:A443"/>
    <mergeCell ref="B438:B443"/>
    <mergeCell ref="C438:C443"/>
    <mergeCell ref="D438:D443"/>
    <mergeCell ref="E438:E443"/>
    <mergeCell ref="M438:M442"/>
    <mergeCell ref="F443:G443"/>
    <mergeCell ref="A420:A425"/>
    <mergeCell ref="B420:B425"/>
    <mergeCell ref="C420:C425"/>
    <mergeCell ref="D420:D425"/>
    <mergeCell ref="E420:E425"/>
    <mergeCell ref="M420:M424"/>
    <mergeCell ref="F425:G425"/>
    <mergeCell ref="A426:A431"/>
    <mergeCell ref="B426:B431"/>
    <mergeCell ref="C426:C431"/>
    <mergeCell ref="D426:D431"/>
    <mergeCell ref="E426:E431"/>
    <mergeCell ref="M426:M430"/>
    <mergeCell ref="F431:G431"/>
    <mergeCell ref="A408:A413"/>
    <mergeCell ref="B408:B413"/>
    <mergeCell ref="C408:C413"/>
    <mergeCell ref="D408:D413"/>
    <mergeCell ref="E408:E413"/>
    <mergeCell ref="M408:M412"/>
    <mergeCell ref="F413:G413"/>
    <mergeCell ref="A414:A419"/>
    <mergeCell ref="B414:B419"/>
    <mergeCell ref="C414:C419"/>
    <mergeCell ref="D414:D419"/>
    <mergeCell ref="E414:E419"/>
    <mergeCell ref="M414:M418"/>
    <mergeCell ref="F419:G419"/>
    <mergeCell ref="A396:A401"/>
    <mergeCell ref="B396:B401"/>
    <mergeCell ref="C396:C401"/>
    <mergeCell ref="D396:D401"/>
    <mergeCell ref="E396:E401"/>
    <mergeCell ref="M396:M400"/>
    <mergeCell ref="F401:G401"/>
    <mergeCell ref="A402:A407"/>
    <mergeCell ref="B402:B407"/>
    <mergeCell ref="C402:C407"/>
    <mergeCell ref="D402:D407"/>
    <mergeCell ref="E402:E407"/>
    <mergeCell ref="M402:M406"/>
    <mergeCell ref="F407:G407"/>
    <mergeCell ref="A384:A389"/>
    <mergeCell ref="B384:B389"/>
    <mergeCell ref="C384:C389"/>
    <mergeCell ref="D384:D389"/>
    <mergeCell ref="E384:E389"/>
    <mergeCell ref="M384:M388"/>
    <mergeCell ref="F389:G389"/>
    <mergeCell ref="A390:A395"/>
    <mergeCell ref="B390:B395"/>
    <mergeCell ref="C390:C395"/>
    <mergeCell ref="D390:D395"/>
    <mergeCell ref="E390:E395"/>
    <mergeCell ref="M390:M394"/>
    <mergeCell ref="F395:G395"/>
    <mergeCell ref="A372:A377"/>
    <mergeCell ref="B372:B377"/>
    <mergeCell ref="C372:C377"/>
    <mergeCell ref="D372:D377"/>
    <mergeCell ref="E372:E377"/>
    <mergeCell ref="M372:M376"/>
    <mergeCell ref="F377:G377"/>
    <mergeCell ref="A378:A383"/>
    <mergeCell ref="B378:B383"/>
    <mergeCell ref="C378:C383"/>
    <mergeCell ref="D378:D383"/>
    <mergeCell ref="E378:E383"/>
    <mergeCell ref="M378:M382"/>
    <mergeCell ref="F383:G383"/>
    <mergeCell ref="A360:A365"/>
    <mergeCell ref="B360:B365"/>
    <mergeCell ref="C360:C365"/>
    <mergeCell ref="D360:D365"/>
    <mergeCell ref="E360:E365"/>
    <mergeCell ref="M360:M364"/>
    <mergeCell ref="F365:G365"/>
    <mergeCell ref="A366:A371"/>
    <mergeCell ref="B366:B371"/>
    <mergeCell ref="C366:C371"/>
    <mergeCell ref="D366:D371"/>
    <mergeCell ref="E366:E371"/>
    <mergeCell ref="M366:M370"/>
    <mergeCell ref="F371:G371"/>
    <mergeCell ref="A348:A353"/>
    <mergeCell ref="B348:B353"/>
    <mergeCell ref="C348:C353"/>
    <mergeCell ref="D348:D353"/>
    <mergeCell ref="E348:E353"/>
    <mergeCell ref="M348:M352"/>
    <mergeCell ref="F353:G353"/>
    <mergeCell ref="A354:A359"/>
    <mergeCell ref="B354:B359"/>
    <mergeCell ref="C354:C359"/>
    <mergeCell ref="D354:D359"/>
    <mergeCell ref="E354:E359"/>
    <mergeCell ref="M354:M358"/>
    <mergeCell ref="F359:G359"/>
    <mergeCell ref="A336:A341"/>
    <mergeCell ref="B336:B341"/>
    <mergeCell ref="C336:C341"/>
    <mergeCell ref="D336:D341"/>
    <mergeCell ref="E336:E341"/>
    <mergeCell ref="M336:M340"/>
    <mergeCell ref="F341:G341"/>
    <mergeCell ref="A342:A347"/>
    <mergeCell ref="B342:B347"/>
    <mergeCell ref="C342:C347"/>
    <mergeCell ref="D342:D347"/>
    <mergeCell ref="E342:E347"/>
    <mergeCell ref="M342:M346"/>
    <mergeCell ref="F347:G347"/>
    <mergeCell ref="A324:A329"/>
    <mergeCell ref="B324:B329"/>
    <mergeCell ref="C324:C329"/>
    <mergeCell ref="D324:D329"/>
    <mergeCell ref="E324:E329"/>
    <mergeCell ref="M324:M328"/>
    <mergeCell ref="F329:G329"/>
    <mergeCell ref="A330:A335"/>
    <mergeCell ref="B330:B335"/>
    <mergeCell ref="C330:C335"/>
    <mergeCell ref="D330:D335"/>
    <mergeCell ref="E330:E335"/>
    <mergeCell ref="M330:M334"/>
    <mergeCell ref="F335:G335"/>
    <mergeCell ref="A312:A317"/>
    <mergeCell ref="B312:B317"/>
    <mergeCell ref="C312:C317"/>
    <mergeCell ref="D312:D317"/>
    <mergeCell ref="E312:E317"/>
    <mergeCell ref="M312:M316"/>
    <mergeCell ref="F317:G317"/>
    <mergeCell ref="A318:A323"/>
    <mergeCell ref="B318:B323"/>
    <mergeCell ref="C318:C323"/>
    <mergeCell ref="D318:D323"/>
    <mergeCell ref="E318:E323"/>
    <mergeCell ref="M318:M322"/>
    <mergeCell ref="F323:G323"/>
    <mergeCell ref="A300:A305"/>
    <mergeCell ref="B300:B305"/>
    <mergeCell ref="C300:C305"/>
    <mergeCell ref="D300:D305"/>
    <mergeCell ref="E300:E305"/>
    <mergeCell ref="M300:M304"/>
    <mergeCell ref="F305:G305"/>
    <mergeCell ref="A306:A311"/>
    <mergeCell ref="B306:B311"/>
    <mergeCell ref="C306:C311"/>
    <mergeCell ref="D306:D311"/>
    <mergeCell ref="E306:E311"/>
    <mergeCell ref="M306:M310"/>
    <mergeCell ref="F311:G311"/>
    <mergeCell ref="A54:A59"/>
    <mergeCell ref="B54:B59"/>
    <mergeCell ref="C54:C59"/>
    <mergeCell ref="D54:D59"/>
    <mergeCell ref="E54:E59"/>
    <mergeCell ref="M54:M58"/>
    <mergeCell ref="F59:G59"/>
    <mergeCell ref="M48:M52"/>
    <mergeCell ref="F53:G53"/>
    <mergeCell ref="A48:A53"/>
    <mergeCell ref="B48:B53"/>
    <mergeCell ref="C48:C53"/>
    <mergeCell ref="D48:D53"/>
    <mergeCell ref="E48:E53"/>
    <mergeCell ref="A72:A77"/>
    <mergeCell ref="B72:B77"/>
    <mergeCell ref="C72:C77"/>
    <mergeCell ref="D72:D77"/>
    <mergeCell ref="E72:E77"/>
    <mergeCell ref="M72:M76"/>
    <mergeCell ref="F77:G77"/>
    <mergeCell ref="A78:A83"/>
    <mergeCell ref="B78:B83"/>
    <mergeCell ref="C78:C83"/>
    <mergeCell ref="D78:D83"/>
    <mergeCell ref="E78:E83"/>
    <mergeCell ref="M78:M82"/>
    <mergeCell ref="F83:G83"/>
    <mergeCell ref="M42:M46"/>
    <mergeCell ref="F47:G47"/>
    <mergeCell ref="A36:A41"/>
    <mergeCell ref="B36:B41"/>
    <mergeCell ref="C36:C41"/>
    <mergeCell ref="D36:D41"/>
    <mergeCell ref="E36:E41"/>
    <mergeCell ref="M36:M40"/>
    <mergeCell ref="F41:G41"/>
    <mergeCell ref="A42:A47"/>
    <mergeCell ref="B42:B47"/>
    <mergeCell ref="C42:C47"/>
    <mergeCell ref="D42:D47"/>
    <mergeCell ref="E42:E47"/>
    <mergeCell ref="M30:M34"/>
    <mergeCell ref="F35:G35"/>
    <mergeCell ref="A24:A29"/>
    <mergeCell ref="B24:B29"/>
    <mergeCell ref="C24:C29"/>
    <mergeCell ref="D24:D29"/>
    <mergeCell ref="E24:E29"/>
    <mergeCell ref="M24:M28"/>
    <mergeCell ref="F29:G29"/>
    <mergeCell ref="A30:A35"/>
    <mergeCell ref="B30:B35"/>
    <mergeCell ref="C30:C35"/>
    <mergeCell ref="D30:D35"/>
    <mergeCell ref="E30:E35"/>
    <mergeCell ref="A12:A17"/>
    <mergeCell ref="B12:B17"/>
    <mergeCell ref="C12:C17"/>
    <mergeCell ref="D12:D17"/>
    <mergeCell ref="E12:E17"/>
    <mergeCell ref="M12:M16"/>
    <mergeCell ref="F17:G17"/>
    <mergeCell ref="A18:A23"/>
    <mergeCell ref="B18:B23"/>
    <mergeCell ref="C18:C23"/>
    <mergeCell ref="D18:D23"/>
    <mergeCell ref="E18:E23"/>
    <mergeCell ref="M18:M22"/>
    <mergeCell ref="F23:G23"/>
    <mergeCell ref="A6:A11"/>
    <mergeCell ref="B6:B11"/>
    <mergeCell ref="C6:C11"/>
    <mergeCell ref="D6:D11"/>
    <mergeCell ref="E6:E11"/>
    <mergeCell ref="M6:M10"/>
    <mergeCell ref="F11:G11"/>
    <mergeCell ref="A1:P1"/>
    <mergeCell ref="A2:P2"/>
    <mergeCell ref="A3:P3"/>
    <mergeCell ref="A4:P4"/>
    <mergeCell ref="A96:A101"/>
    <mergeCell ref="B96:B101"/>
    <mergeCell ref="C96:C101"/>
    <mergeCell ref="D96:D101"/>
    <mergeCell ref="E96:E101"/>
    <mergeCell ref="M96:M100"/>
    <mergeCell ref="F101:G101"/>
    <mergeCell ref="A84:A89"/>
    <mergeCell ref="B84:B89"/>
    <mergeCell ref="C84:C89"/>
    <mergeCell ref="D84:D89"/>
    <mergeCell ref="E84:E89"/>
    <mergeCell ref="M84:M88"/>
    <mergeCell ref="F89:G89"/>
    <mergeCell ref="A90:A95"/>
    <mergeCell ref="B90:B95"/>
    <mergeCell ref="C90:C95"/>
    <mergeCell ref="D90:D95"/>
    <mergeCell ref="E90:E95"/>
    <mergeCell ref="M90:M94"/>
    <mergeCell ref="F95:G95"/>
    <mergeCell ref="A60:A65"/>
    <mergeCell ref="B60:B65"/>
    <mergeCell ref="C60:C65"/>
    <mergeCell ref="D60:D65"/>
    <mergeCell ref="E60:E65"/>
    <mergeCell ref="M60:M64"/>
    <mergeCell ref="F65:G65"/>
    <mergeCell ref="A66:A71"/>
    <mergeCell ref="B66:B71"/>
    <mergeCell ref="C66:C71"/>
    <mergeCell ref="D66:D71"/>
    <mergeCell ref="E66:E71"/>
    <mergeCell ref="M66:M70"/>
    <mergeCell ref="F71:G71"/>
    <mergeCell ref="A102:A107"/>
    <mergeCell ref="B102:B107"/>
    <mergeCell ref="C102:C107"/>
    <mergeCell ref="D102:D107"/>
    <mergeCell ref="E102:E107"/>
    <mergeCell ref="M102:M106"/>
    <mergeCell ref="F107:G107"/>
    <mergeCell ref="A108:A113"/>
    <mergeCell ref="B108:B113"/>
    <mergeCell ref="C108:C113"/>
    <mergeCell ref="D108:D113"/>
    <mergeCell ref="E108:E113"/>
    <mergeCell ref="M108:M112"/>
    <mergeCell ref="F113:G113"/>
    <mergeCell ref="A114:A119"/>
    <mergeCell ref="B114:B119"/>
    <mergeCell ref="C114:C119"/>
    <mergeCell ref="D114:D119"/>
    <mergeCell ref="E114:E119"/>
    <mergeCell ref="M114:M118"/>
    <mergeCell ref="F119:G119"/>
    <mergeCell ref="A120:A125"/>
    <mergeCell ref="B120:B125"/>
    <mergeCell ref="C120:C125"/>
    <mergeCell ref="D120:D125"/>
    <mergeCell ref="E120:E125"/>
    <mergeCell ref="M120:M124"/>
    <mergeCell ref="F125:G125"/>
    <mergeCell ref="A126:A131"/>
    <mergeCell ref="B126:B131"/>
    <mergeCell ref="C126:C131"/>
    <mergeCell ref="D126:D131"/>
    <mergeCell ref="E126:E131"/>
    <mergeCell ref="M126:M130"/>
    <mergeCell ref="F131:G131"/>
    <mergeCell ref="A132:A137"/>
    <mergeCell ref="B132:B137"/>
    <mergeCell ref="C132:C137"/>
    <mergeCell ref="D132:D137"/>
    <mergeCell ref="E132:E137"/>
    <mergeCell ref="M132:M136"/>
    <mergeCell ref="F137:G137"/>
    <mergeCell ref="A138:A143"/>
    <mergeCell ref="B138:B143"/>
    <mergeCell ref="C138:C143"/>
    <mergeCell ref="D138:D143"/>
    <mergeCell ref="E138:E143"/>
    <mergeCell ref="M138:M142"/>
    <mergeCell ref="F143:G143"/>
    <mergeCell ref="A144:A149"/>
    <mergeCell ref="B144:B149"/>
    <mergeCell ref="C144:C149"/>
    <mergeCell ref="D144:D149"/>
    <mergeCell ref="E144:E149"/>
    <mergeCell ref="M144:M148"/>
    <mergeCell ref="F149:G149"/>
    <mergeCell ref="A150:A155"/>
    <mergeCell ref="B150:B155"/>
    <mergeCell ref="C150:C155"/>
    <mergeCell ref="D150:D155"/>
    <mergeCell ref="E150:E155"/>
    <mergeCell ref="M150:M154"/>
    <mergeCell ref="F155:G155"/>
    <mergeCell ref="A156:A161"/>
    <mergeCell ref="B156:B161"/>
    <mergeCell ref="C156:C161"/>
    <mergeCell ref="D156:D161"/>
    <mergeCell ref="E156:E161"/>
    <mergeCell ref="M156:M160"/>
    <mergeCell ref="F161:G161"/>
    <mergeCell ref="A162:A167"/>
    <mergeCell ref="B162:B167"/>
    <mergeCell ref="C162:C167"/>
    <mergeCell ref="D162:D167"/>
    <mergeCell ref="E162:E167"/>
    <mergeCell ref="M162:M166"/>
    <mergeCell ref="F167:G167"/>
    <mergeCell ref="A168:A173"/>
    <mergeCell ref="B168:B173"/>
    <mergeCell ref="C168:C173"/>
    <mergeCell ref="D168:D173"/>
    <mergeCell ref="E168:E173"/>
    <mergeCell ref="M168:M172"/>
    <mergeCell ref="F173:G173"/>
    <mergeCell ref="A174:A179"/>
    <mergeCell ref="B174:B179"/>
    <mergeCell ref="C174:C179"/>
    <mergeCell ref="D174:D179"/>
    <mergeCell ref="E174:E179"/>
    <mergeCell ref="M174:M178"/>
    <mergeCell ref="F179:G179"/>
    <mergeCell ref="A180:A185"/>
    <mergeCell ref="B180:B185"/>
    <mergeCell ref="C180:C185"/>
    <mergeCell ref="D180:D185"/>
    <mergeCell ref="E180:E185"/>
    <mergeCell ref="M180:M184"/>
    <mergeCell ref="F185:G185"/>
    <mergeCell ref="A186:A191"/>
    <mergeCell ref="B186:B191"/>
    <mergeCell ref="C186:C191"/>
    <mergeCell ref="D186:D191"/>
    <mergeCell ref="E186:E191"/>
    <mergeCell ref="M186:M190"/>
    <mergeCell ref="F191:G191"/>
    <mergeCell ref="A204:A209"/>
    <mergeCell ref="B204:B209"/>
    <mergeCell ref="C204:C209"/>
    <mergeCell ref="D204:D209"/>
    <mergeCell ref="E204:E209"/>
    <mergeCell ref="M204:M208"/>
    <mergeCell ref="F209:G209"/>
    <mergeCell ref="A192:A197"/>
    <mergeCell ref="B192:B197"/>
    <mergeCell ref="C192:C197"/>
    <mergeCell ref="D192:D197"/>
    <mergeCell ref="E192:E197"/>
    <mergeCell ref="M192:M196"/>
    <mergeCell ref="F197:G197"/>
    <mergeCell ref="A198:A203"/>
    <mergeCell ref="B198:B203"/>
    <mergeCell ref="D198:D203"/>
    <mergeCell ref="E198:E203"/>
    <mergeCell ref="M198:M202"/>
    <mergeCell ref="F203:G203"/>
    <mergeCell ref="C198:C203"/>
    <mergeCell ref="A210:A215"/>
    <mergeCell ref="B210:B215"/>
    <mergeCell ref="C210:C215"/>
    <mergeCell ref="D210:D215"/>
    <mergeCell ref="E210:E215"/>
    <mergeCell ref="M210:M214"/>
    <mergeCell ref="F215:G215"/>
    <mergeCell ref="A216:A221"/>
    <mergeCell ref="B216:B221"/>
    <mergeCell ref="C216:C221"/>
    <mergeCell ref="D216:D221"/>
    <mergeCell ref="E216:E221"/>
    <mergeCell ref="M216:M220"/>
    <mergeCell ref="F221:G221"/>
    <mergeCell ref="A222:A227"/>
    <mergeCell ref="B222:B227"/>
    <mergeCell ref="C222:C227"/>
    <mergeCell ref="D222:D227"/>
    <mergeCell ref="E222:E227"/>
    <mergeCell ref="M222:M226"/>
    <mergeCell ref="F227:G227"/>
    <mergeCell ref="A228:A233"/>
    <mergeCell ref="B228:B233"/>
    <mergeCell ref="C228:C233"/>
    <mergeCell ref="D228:D233"/>
    <mergeCell ref="E228:E233"/>
    <mergeCell ref="M228:M232"/>
    <mergeCell ref="F233:G233"/>
    <mergeCell ref="A234:A239"/>
    <mergeCell ref="B234:B239"/>
    <mergeCell ref="C234:C239"/>
    <mergeCell ref="D234:D239"/>
    <mergeCell ref="E234:E239"/>
    <mergeCell ref="M234:M238"/>
    <mergeCell ref="F239:G239"/>
    <mergeCell ref="A240:A245"/>
    <mergeCell ref="B240:B245"/>
    <mergeCell ref="C240:C245"/>
    <mergeCell ref="D240:D245"/>
    <mergeCell ref="E240:E245"/>
    <mergeCell ref="M240:M244"/>
    <mergeCell ref="F245:G245"/>
    <mergeCell ref="A246:A251"/>
    <mergeCell ref="B246:B251"/>
    <mergeCell ref="C246:C251"/>
    <mergeCell ref="D246:D251"/>
    <mergeCell ref="E246:E251"/>
    <mergeCell ref="M246:M250"/>
    <mergeCell ref="F251:G251"/>
    <mergeCell ref="A252:A257"/>
    <mergeCell ref="B252:B257"/>
    <mergeCell ref="C252:C257"/>
    <mergeCell ref="D252:D257"/>
    <mergeCell ref="E252:E257"/>
    <mergeCell ref="M252:M256"/>
    <mergeCell ref="F257:G257"/>
    <mergeCell ref="A258:A263"/>
    <mergeCell ref="B258:B263"/>
    <mergeCell ref="C258:C263"/>
    <mergeCell ref="D258:D263"/>
    <mergeCell ref="E258:E263"/>
    <mergeCell ref="M258:M262"/>
    <mergeCell ref="F263:G263"/>
    <mergeCell ref="A264:A269"/>
    <mergeCell ref="B264:B269"/>
    <mergeCell ref="C264:C269"/>
    <mergeCell ref="D264:D269"/>
    <mergeCell ref="E264:E269"/>
    <mergeCell ref="M264:M268"/>
    <mergeCell ref="F269:G269"/>
    <mergeCell ref="A270:A275"/>
    <mergeCell ref="B270:B275"/>
    <mergeCell ref="C270:C275"/>
    <mergeCell ref="D270:D275"/>
    <mergeCell ref="E270:E275"/>
    <mergeCell ref="M270:M274"/>
    <mergeCell ref="F275:G275"/>
    <mergeCell ref="A294:A299"/>
    <mergeCell ref="B294:B299"/>
    <mergeCell ref="C294:C299"/>
    <mergeCell ref="D294:D299"/>
    <mergeCell ref="E294:E299"/>
    <mergeCell ref="M294:M298"/>
    <mergeCell ref="F299:G299"/>
    <mergeCell ref="A282:A287"/>
    <mergeCell ref="B282:B287"/>
    <mergeCell ref="C282:C287"/>
    <mergeCell ref="D282:D287"/>
    <mergeCell ref="E282:E287"/>
    <mergeCell ref="M282:M286"/>
    <mergeCell ref="F287:G287"/>
    <mergeCell ref="A288:A293"/>
    <mergeCell ref="B288:B293"/>
    <mergeCell ref="C288:C293"/>
    <mergeCell ref="D288:D293"/>
    <mergeCell ref="E288:E293"/>
    <mergeCell ref="M288:M292"/>
    <mergeCell ref="F293:G293"/>
    <mergeCell ref="A276:A281"/>
    <mergeCell ref="B276:B281"/>
    <mergeCell ref="C276:C281"/>
    <mergeCell ref="D276:D281"/>
    <mergeCell ref="E276:E281"/>
    <mergeCell ref="M276:M280"/>
    <mergeCell ref="F281:G281"/>
  </mergeCells>
  <pageMargins left="0.15748031496062992" right="0" top="0.23622047244094491" bottom="0.23622047244094491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A4" sqref="A4:P4"/>
    </sheetView>
  </sheetViews>
  <sheetFormatPr defaultRowHeight="14.4" x14ac:dyDescent="0.3"/>
  <cols>
    <col min="1" max="1" width="3.5546875" customWidth="1"/>
    <col min="2" max="2" width="31.44140625" customWidth="1"/>
    <col min="3" max="3" width="6.6640625" customWidth="1"/>
    <col min="4" max="4" width="8.6640625" customWidth="1"/>
    <col min="5" max="5" width="10.44140625" customWidth="1"/>
    <col min="6" max="6" width="8.44140625" customWidth="1"/>
    <col min="7" max="7" width="9.88671875" customWidth="1"/>
    <col min="8" max="8" width="8.109375" customWidth="1"/>
    <col min="9" max="9" width="8.33203125" customWidth="1"/>
    <col min="10" max="10" width="10" customWidth="1"/>
    <col min="11" max="11" width="7.5546875" customWidth="1"/>
    <col min="12" max="12" width="10.109375" customWidth="1"/>
    <col min="13" max="13" width="11.109375" customWidth="1"/>
    <col min="14" max="14" width="12.109375" customWidth="1"/>
    <col min="15" max="15" width="15" customWidth="1"/>
    <col min="16" max="16" width="8.5546875" customWidth="1"/>
  </cols>
  <sheetData>
    <row r="1" spans="1:16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 spans="1:16" ht="24.6" x14ac:dyDescent="0.4">
      <c r="A2" s="342" t="s">
        <v>11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</row>
    <row r="3" spans="1:16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</row>
    <row r="4" spans="1:16" ht="25.2" x14ac:dyDescent="0.45">
      <c r="A4" s="343" t="s">
        <v>430</v>
      </c>
      <c r="B4" s="343"/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</row>
    <row r="5" spans="1:16" ht="41.4" x14ac:dyDescent="0.3">
      <c r="A5" s="52" t="s">
        <v>0</v>
      </c>
      <c r="B5" s="53" t="s">
        <v>13</v>
      </c>
      <c r="C5" s="54" t="s">
        <v>14</v>
      </c>
      <c r="D5" s="55" t="s">
        <v>1</v>
      </c>
      <c r="E5" s="54" t="s">
        <v>2</v>
      </c>
      <c r="F5" s="54" t="s">
        <v>8</v>
      </c>
      <c r="G5" s="54" t="s">
        <v>9</v>
      </c>
      <c r="H5" s="54" t="s">
        <v>46</v>
      </c>
      <c r="I5" s="54" t="s">
        <v>3</v>
      </c>
      <c r="J5" s="63" t="s">
        <v>4</v>
      </c>
      <c r="K5" s="63" t="s">
        <v>5</v>
      </c>
      <c r="L5" s="63" t="s">
        <v>15</v>
      </c>
      <c r="M5" s="54" t="s">
        <v>49</v>
      </c>
      <c r="N5" s="54" t="s">
        <v>6</v>
      </c>
      <c r="O5" s="54" t="s">
        <v>7</v>
      </c>
      <c r="P5" s="54" t="s">
        <v>44</v>
      </c>
    </row>
    <row r="6" spans="1:16" ht="15.75" customHeight="1" x14ac:dyDescent="0.35">
      <c r="A6" s="344">
        <v>1</v>
      </c>
      <c r="B6" s="345"/>
      <c r="C6" s="345"/>
      <c r="D6" s="346"/>
      <c r="E6" s="347"/>
      <c r="F6" s="46"/>
      <c r="G6" s="105"/>
      <c r="H6" s="4"/>
      <c r="I6" s="4"/>
      <c r="J6" s="4"/>
      <c r="K6" s="4"/>
      <c r="L6" s="4">
        <f>SUM(H6:K6)</f>
        <v>0</v>
      </c>
      <c r="M6" s="340"/>
      <c r="N6" s="4"/>
      <c r="O6" s="106"/>
      <c r="P6" s="46"/>
    </row>
    <row r="7" spans="1:16" ht="15.75" customHeight="1" x14ac:dyDescent="0.35">
      <c r="A7" s="344"/>
      <c r="B7" s="345"/>
      <c r="C7" s="345"/>
      <c r="D7" s="346"/>
      <c r="E7" s="326"/>
      <c r="F7" s="107"/>
      <c r="G7" s="46"/>
      <c r="H7" s="4"/>
      <c r="I7" s="4"/>
      <c r="J7" s="4"/>
      <c r="K7" s="4"/>
      <c r="L7" s="4">
        <f>SUM(H7:K7)</f>
        <v>0</v>
      </c>
      <c r="M7" s="340"/>
      <c r="N7" s="4"/>
      <c r="O7" s="106"/>
      <c r="P7" s="46"/>
    </row>
    <row r="8" spans="1:16" ht="15.75" customHeight="1" x14ac:dyDescent="0.3">
      <c r="A8" s="344"/>
      <c r="B8" s="345"/>
      <c r="C8" s="345"/>
      <c r="D8" s="346"/>
      <c r="E8" s="326"/>
      <c r="F8" s="46"/>
      <c r="G8" s="46"/>
      <c r="H8" s="4"/>
      <c r="I8" s="4"/>
      <c r="J8" s="4"/>
      <c r="K8" s="4"/>
      <c r="L8" s="4">
        <f>SUM(H8:K8)</f>
        <v>0</v>
      </c>
      <c r="M8" s="340"/>
      <c r="N8" s="4"/>
      <c r="O8" s="46"/>
      <c r="P8" s="46"/>
    </row>
    <row r="9" spans="1:16" ht="15.75" customHeight="1" x14ac:dyDescent="0.3">
      <c r="A9" s="344"/>
      <c r="B9" s="345"/>
      <c r="C9" s="345"/>
      <c r="D9" s="346"/>
      <c r="E9" s="326"/>
      <c r="F9" s="46"/>
      <c r="G9" s="46"/>
      <c r="H9" s="4"/>
      <c r="I9" s="4"/>
      <c r="J9" s="4"/>
      <c r="K9" s="4"/>
      <c r="L9" s="4">
        <f>SUM(H9:K9)</f>
        <v>0</v>
      </c>
      <c r="M9" s="340"/>
      <c r="N9" s="4"/>
      <c r="O9" s="36"/>
      <c r="P9" s="46"/>
    </row>
    <row r="10" spans="1:16" ht="15.75" customHeight="1" x14ac:dyDescent="0.3">
      <c r="A10" s="344"/>
      <c r="B10" s="345"/>
      <c r="C10" s="345"/>
      <c r="D10" s="346"/>
      <c r="E10" s="326"/>
      <c r="F10" s="46"/>
      <c r="G10" s="46"/>
      <c r="H10" s="4"/>
      <c r="I10" s="4"/>
      <c r="J10" s="4"/>
      <c r="K10" s="4"/>
      <c r="L10" s="4">
        <f>SUM(H10:K10)</f>
        <v>0</v>
      </c>
      <c r="M10" s="340"/>
      <c r="N10" s="4"/>
      <c r="O10" s="108"/>
      <c r="P10" s="46"/>
    </row>
    <row r="11" spans="1:16" ht="15.75" customHeight="1" thickBot="1" x14ac:dyDescent="0.35">
      <c r="A11" s="344"/>
      <c r="B11" s="345"/>
      <c r="C11" s="345"/>
      <c r="D11" s="346"/>
      <c r="E11" s="348"/>
      <c r="F11" s="341"/>
      <c r="G11" s="341"/>
      <c r="H11" s="56">
        <f>SUM(H6:H10)</f>
        <v>0</v>
      </c>
      <c r="I11" s="56">
        <f t="shared" ref="I11:L11" si="0">SUM(I6:I10)</f>
        <v>0</v>
      </c>
      <c r="J11" s="56">
        <f t="shared" si="0"/>
        <v>0</v>
      </c>
      <c r="K11" s="56">
        <f t="shared" si="0"/>
        <v>0</v>
      </c>
      <c r="L11" s="56">
        <f t="shared" si="0"/>
        <v>0</v>
      </c>
      <c r="M11" s="56"/>
      <c r="N11" s="56">
        <f>M6-L11</f>
        <v>0</v>
      </c>
      <c r="O11" s="110"/>
      <c r="P11" s="109"/>
    </row>
    <row r="12" spans="1:16" ht="15.75" customHeight="1" thickTop="1" x14ac:dyDescent="0.3">
      <c r="A12" s="340">
        <v>2</v>
      </c>
      <c r="B12" s="351"/>
      <c r="C12" s="351"/>
      <c r="D12" s="351"/>
      <c r="E12" s="352"/>
      <c r="F12" s="4"/>
      <c r="G12" s="26"/>
      <c r="H12" s="4"/>
      <c r="I12" s="4"/>
      <c r="J12" s="4"/>
      <c r="K12" s="4"/>
      <c r="L12" s="4">
        <f>SUM(H12:K12)</f>
        <v>0</v>
      </c>
      <c r="M12" s="340"/>
      <c r="N12" s="4"/>
      <c r="O12" s="4"/>
      <c r="P12" s="4"/>
    </row>
    <row r="13" spans="1:16" ht="15.75" customHeight="1" x14ac:dyDescent="0.3">
      <c r="A13" s="340"/>
      <c r="B13" s="351"/>
      <c r="C13" s="351"/>
      <c r="D13" s="351"/>
      <c r="E13" s="340"/>
      <c r="F13" s="16"/>
      <c r="G13" s="4"/>
      <c r="H13" s="4"/>
      <c r="I13" s="4"/>
      <c r="J13" s="4"/>
      <c r="K13" s="4"/>
      <c r="L13" s="4">
        <f>SUM(H13:K13)</f>
        <v>0</v>
      </c>
      <c r="M13" s="340"/>
      <c r="N13" s="4"/>
      <c r="O13" s="4"/>
      <c r="P13" s="4"/>
    </row>
    <row r="14" spans="1:16" ht="15.75" customHeight="1" x14ac:dyDescent="0.3">
      <c r="A14" s="340"/>
      <c r="B14" s="351"/>
      <c r="C14" s="351"/>
      <c r="D14" s="351"/>
      <c r="E14" s="340"/>
      <c r="F14" s="4"/>
      <c r="G14" s="4"/>
      <c r="H14" s="4"/>
      <c r="I14" s="4"/>
      <c r="J14" s="4"/>
      <c r="K14" s="4"/>
      <c r="L14" s="4">
        <f>SUM(H14:K14)</f>
        <v>0</v>
      </c>
      <c r="M14" s="340"/>
      <c r="N14" s="4"/>
      <c r="O14" s="26"/>
      <c r="P14" s="4"/>
    </row>
    <row r="15" spans="1:16" ht="15.75" customHeight="1" x14ac:dyDescent="0.3">
      <c r="A15" s="340"/>
      <c r="B15" s="351"/>
      <c r="C15" s="351"/>
      <c r="D15" s="351"/>
      <c r="E15" s="340"/>
      <c r="F15" s="4"/>
      <c r="G15" s="4"/>
      <c r="H15" s="4"/>
      <c r="I15" s="4"/>
      <c r="J15" s="4"/>
      <c r="K15" s="4"/>
      <c r="L15" s="4">
        <f>SUM(H15:K15)</f>
        <v>0</v>
      </c>
      <c r="M15" s="340"/>
      <c r="N15" s="4"/>
      <c r="O15" s="4"/>
      <c r="P15" s="4"/>
    </row>
    <row r="16" spans="1:16" ht="15.75" customHeight="1" x14ac:dyDescent="0.3">
      <c r="A16" s="340"/>
      <c r="B16" s="351"/>
      <c r="C16" s="351"/>
      <c r="D16" s="351"/>
      <c r="E16" s="340"/>
      <c r="F16" s="4"/>
      <c r="G16" s="4"/>
      <c r="H16" s="4"/>
      <c r="I16" s="4"/>
      <c r="J16" s="4"/>
      <c r="K16" s="4"/>
      <c r="L16" s="4">
        <f>SUM(H16:K16)</f>
        <v>0</v>
      </c>
      <c r="M16" s="340"/>
      <c r="N16" s="4"/>
      <c r="O16" s="4"/>
      <c r="P16" s="4"/>
    </row>
    <row r="17" spans="1:16" ht="15.75" customHeight="1" thickBot="1" x14ac:dyDescent="0.35">
      <c r="A17" s="340"/>
      <c r="B17" s="351"/>
      <c r="C17" s="351"/>
      <c r="D17" s="351"/>
      <c r="E17" s="340"/>
      <c r="F17" s="350" t="s">
        <v>17</v>
      </c>
      <c r="G17" s="350"/>
      <c r="H17" s="56">
        <f>SUM(H12:H16)</f>
        <v>0</v>
      </c>
      <c r="I17" s="56">
        <f t="shared" ref="I17:L17" si="1">SUM(I12:I16)</f>
        <v>0</v>
      </c>
      <c r="J17" s="56">
        <f t="shared" si="1"/>
        <v>0</v>
      </c>
      <c r="K17" s="56">
        <f t="shared" si="1"/>
        <v>0</v>
      </c>
      <c r="L17" s="56">
        <f t="shared" si="1"/>
        <v>0</v>
      </c>
      <c r="M17" s="56"/>
      <c r="N17" s="56">
        <f>M12-L17</f>
        <v>0</v>
      </c>
      <c r="O17" s="99" t="s">
        <v>48</v>
      </c>
      <c r="P17" s="56">
        <f t="shared" ref="P17" si="2">SUM(P12:P16)</f>
        <v>0</v>
      </c>
    </row>
    <row r="18" spans="1:16" ht="16.5" customHeight="1" thickTop="1" x14ac:dyDescent="0.3">
      <c r="A18" s="349" t="s">
        <v>15</v>
      </c>
      <c r="B18" s="349"/>
      <c r="C18" s="349"/>
      <c r="D18" s="349"/>
      <c r="E18" s="349"/>
      <c r="F18" s="349"/>
      <c r="G18" s="349"/>
      <c r="H18" s="2">
        <f t="shared" ref="H18:L18" si="3">+H11+H17</f>
        <v>0</v>
      </c>
      <c r="I18" s="2">
        <f t="shared" si="3"/>
        <v>0</v>
      </c>
      <c r="J18" s="2">
        <f t="shared" si="3"/>
        <v>0</v>
      </c>
      <c r="K18" s="2">
        <f t="shared" si="3"/>
        <v>0</v>
      </c>
      <c r="L18" s="2">
        <f t="shared" si="3"/>
        <v>0</v>
      </c>
      <c r="M18" s="2">
        <f>+M6+M12</f>
        <v>0</v>
      </c>
      <c r="N18" s="2">
        <f>+N11+N17</f>
        <v>0</v>
      </c>
      <c r="O18" s="2"/>
      <c r="P18" s="2">
        <f>+P11+P17</f>
        <v>0</v>
      </c>
    </row>
  </sheetData>
  <mergeCells count="19">
    <mergeCell ref="A18:G18"/>
    <mergeCell ref="M12:M16"/>
    <mergeCell ref="F17:G17"/>
    <mergeCell ref="A12:A17"/>
    <mergeCell ref="B12:B17"/>
    <mergeCell ref="C12:C17"/>
    <mergeCell ref="D12:D17"/>
    <mergeCell ref="E12:E17"/>
    <mergeCell ref="M6:M10"/>
    <mergeCell ref="F11:G11"/>
    <mergeCell ref="A1:P1"/>
    <mergeCell ref="A2:P2"/>
    <mergeCell ref="A3:P3"/>
    <mergeCell ref="A4:P4"/>
    <mergeCell ref="A6:A11"/>
    <mergeCell ref="B6:B11"/>
    <mergeCell ref="C6:C11"/>
    <mergeCell ref="D6:D11"/>
    <mergeCell ref="E6:E11"/>
  </mergeCells>
  <pageMargins left="0.16" right="0" top="0.23622047244094491" bottom="0.23622047244094491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9"/>
  <sheetViews>
    <sheetView workbookViewId="0">
      <pane xSplit="5" ySplit="5" topLeftCell="F24" activePane="bottomRight" state="frozen"/>
      <selection pane="topRight" activeCell="F1" sqref="F1"/>
      <selection pane="bottomLeft" activeCell="A6" sqref="A6"/>
      <selection pane="bottomRight" activeCell="B30" sqref="B30:B35"/>
    </sheetView>
  </sheetViews>
  <sheetFormatPr defaultRowHeight="14.4" x14ac:dyDescent="0.3"/>
  <cols>
    <col min="1" max="1" width="3.5546875" customWidth="1"/>
    <col min="2" max="2" width="32.33203125" customWidth="1"/>
    <col min="3" max="3" width="6.6640625" customWidth="1"/>
    <col min="4" max="4" width="8.33203125" style="146" customWidth="1"/>
    <col min="5" max="5" width="10.44140625" customWidth="1"/>
    <col min="6" max="6" width="8.33203125" customWidth="1"/>
    <col min="7" max="7" width="9.88671875" customWidth="1"/>
    <col min="8" max="8" width="8.6640625" customWidth="1"/>
    <col min="9" max="9" width="7.109375" customWidth="1"/>
    <col min="10" max="10" width="10" customWidth="1"/>
    <col min="11" max="11" width="7.5546875" customWidth="1"/>
    <col min="12" max="12" width="10.109375" customWidth="1"/>
    <col min="13" max="13" width="11.109375" customWidth="1"/>
    <col min="14" max="14" width="12.109375" customWidth="1"/>
    <col min="15" max="15" width="15" style="84" customWidth="1"/>
    <col min="16" max="16" width="8.88671875" customWidth="1"/>
    <col min="17" max="17" width="13.6640625" customWidth="1"/>
  </cols>
  <sheetData>
    <row r="1" spans="1:16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 spans="1:16" ht="24.6" x14ac:dyDescent="0.4">
      <c r="A2" s="342" t="s">
        <v>11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</row>
    <row r="3" spans="1:16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</row>
    <row r="4" spans="1:16" ht="25.2" x14ac:dyDescent="0.45">
      <c r="A4" s="343" t="s">
        <v>431</v>
      </c>
      <c r="B4" s="343"/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</row>
    <row r="5" spans="1:16" ht="41.4" x14ac:dyDescent="0.3">
      <c r="A5" s="52" t="s">
        <v>0</v>
      </c>
      <c r="B5" s="53" t="s">
        <v>13</v>
      </c>
      <c r="C5" s="54" t="s">
        <v>14</v>
      </c>
      <c r="D5" s="142" t="s">
        <v>1</v>
      </c>
      <c r="E5" s="54" t="s">
        <v>2</v>
      </c>
      <c r="F5" s="54" t="s">
        <v>8</v>
      </c>
      <c r="G5" s="54" t="s">
        <v>9</v>
      </c>
      <c r="H5" s="54" t="s">
        <v>46</v>
      </c>
      <c r="I5" s="54" t="s">
        <v>3</v>
      </c>
      <c r="J5" s="63" t="s">
        <v>4</v>
      </c>
      <c r="K5" s="63" t="s">
        <v>5</v>
      </c>
      <c r="L5" s="63" t="s">
        <v>15</v>
      </c>
      <c r="M5" s="63" t="s">
        <v>49</v>
      </c>
      <c r="N5" s="54" t="s">
        <v>6</v>
      </c>
      <c r="O5" s="77" t="s">
        <v>7</v>
      </c>
      <c r="P5" s="54" t="s">
        <v>44</v>
      </c>
    </row>
    <row r="6" spans="1:16" ht="15.75" customHeight="1" x14ac:dyDescent="0.3">
      <c r="A6" s="340">
        <v>1</v>
      </c>
      <c r="B6" s="360" t="s">
        <v>315</v>
      </c>
      <c r="C6" s="351" t="s">
        <v>316</v>
      </c>
      <c r="D6" s="339" t="s">
        <v>317</v>
      </c>
      <c r="E6" s="357" t="s">
        <v>318</v>
      </c>
      <c r="F6" s="4">
        <v>6747</v>
      </c>
      <c r="G6" s="5" t="s">
        <v>282</v>
      </c>
      <c r="H6" s="4">
        <v>500</v>
      </c>
      <c r="I6" s="4">
        <v>3000</v>
      </c>
      <c r="J6" s="4">
        <v>3000</v>
      </c>
      <c r="K6" s="4"/>
      <c r="L6" s="4">
        <f>SUM(H6:K6)</f>
        <v>6500</v>
      </c>
      <c r="M6" s="340">
        <v>14500</v>
      </c>
      <c r="N6" s="4"/>
      <c r="O6" s="71" t="s">
        <v>240</v>
      </c>
      <c r="P6" s="4">
        <v>1500</v>
      </c>
    </row>
    <row r="7" spans="1:16" ht="15.75" customHeight="1" x14ac:dyDescent="0.3">
      <c r="A7" s="340"/>
      <c r="B7" s="360"/>
      <c r="C7" s="351"/>
      <c r="D7" s="339"/>
      <c r="E7" s="351"/>
      <c r="F7" s="4"/>
      <c r="G7" s="4"/>
      <c r="H7" s="4"/>
      <c r="I7" s="4"/>
      <c r="J7" s="4"/>
      <c r="K7" s="4"/>
      <c r="L7" s="4">
        <f>SUM(H7:K7)</f>
        <v>0</v>
      </c>
      <c r="M7" s="340"/>
      <c r="N7" s="4"/>
      <c r="O7" s="71"/>
      <c r="P7" s="4"/>
    </row>
    <row r="8" spans="1:16" ht="15.75" customHeight="1" x14ac:dyDescent="0.3">
      <c r="A8" s="340"/>
      <c r="B8" s="360"/>
      <c r="C8" s="351"/>
      <c r="D8" s="339"/>
      <c r="E8" s="351"/>
      <c r="F8" s="16"/>
      <c r="G8" s="4"/>
      <c r="H8" s="4"/>
      <c r="I8" s="4"/>
      <c r="J8" s="4"/>
      <c r="K8" s="4"/>
      <c r="L8" s="4">
        <f>SUM(H8:K8)</f>
        <v>0</v>
      </c>
      <c r="M8" s="340"/>
      <c r="N8" s="4"/>
      <c r="O8" s="78"/>
      <c r="P8" s="4"/>
    </row>
    <row r="9" spans="1:16" ht="15.75" customHeight="1" x14ac:dyDescent="0.3">
      <c r="A9" s="340"/>
      <c r="B9" s="360"/>
      <c r="C9" s="351"/>
      <c r="D9" s="339"/>
      <c r="E9" s="351"/>
      <c r="F9" s="4"/>
      <c r="G9" s="4"/>
      <c r="H9" s="4"/>
      <c r="I9" s="4"/>
      <c r="J9" s="4"/>
      <c r="K9" s="4"/>
      <c r="L9" s="4">
        <f>SUM(H9:K9)</f>
        <v>0</v>
      </c>
      <c r="M9" s="340"/>
      <c r="N9" s="4"/>
      <c r="O9" s="71"/>
      <c r="P9" s="4"/>
    </row>
    <row r="10" spans="1:16" ht="15.75" customHeight="1" x14ac:dyDescent="0.3">
      <c r="A10" s="340"/>
      <c r="B10" s="360"/>
      <c r="C10" s="351"/>
      <c r="D10" s="339"/>
      <c r="E10" s="351"/>
      <c r="F10" s="4"/>
      <c r="G10" s="4"/>
      <c r="H10" s="4"/>
      <c r="I10" s="4"/>
      <c r="J10" s="4"/>
      <c r="K10" s="4"/>
      <c r="L10" s="4">
        <f>SUM(H10:K10)</f>
        <v>0</v>
      </c>
      <c r="M10" s="340"/>
      <c r="N10" s="4"/>
      <c r="O10" s="71"/>
      <c r="P10" s="4"/>
    </row>
    <row r="11" spans="1:16" ht="15.75" customHeight="1" thickBot="1" x14ac:dyDescent="0.35">
      <c r="A11" s="340"/>
      <c r="B11" s="360"/>
      <c r="C11" s="351"/>
      <c r="D11" s="339"/>
      <c r="E11" s="351"/>
      <c r="F11" s="350"/>
      <c r="G11" s="350"/>
      <c r="H11" s="56">
        <f>SUM(H6:H10)</f>
        <v>500</v>
      </c>
      <c r="I11" s="56">
        <f t="shared" ref="I11:L11" si="0">SUM(I6:I10)</f>
        <v>3000</v>
      </c>
      <c r="J11" s="56">
        <f t="shared" si="0"/>
        <v>3000</v>
      </c>
      <c r="K11" s="56">
        <f t="shared" si="0"/>
        <v>0</v>
      </c>
      <c r="L11" s="56">
        <f t="shared" si="0"/>
        <v>6500</v>
      </c>
      <c r="M11" s="56"/>
      <c r="N11" s="56">
        <f>M6-L11</f>
        <v>8000</v>
      </c>
      <c r="O11" s="99"/>
      <c r="P11" s="56">
        <f>SUM(P6:P10)</f>
        <v>1500</v>
      </c>
    </row>
    <row r="12" spans="1:16" ht="15.75" customHeight="1" thickTop="1" x14ac:dyDescent="0.3">
      <c r="A12" s="356">
        <v>2</v>
      </c>
      <c r="B12" s="358" t="s">
        <v>319</v>
      </c>
      <c r="C12" s="359" t="s">
        <v>316</v>
      </c>
      <c r="D12" s="361" t="s">
        <v>317</v>
      </c>
      <c r="E12" s="362" t="s">
        <v>318</v>
      </c>
      <c r="F12" s="36">
        <v>6746</v>
      </c>
      <c r="G12" s="48" t="s">
        <v>282</v>
      </c>
      <c r="H12" s="36">
        <v>500</v>
      </c>
      <c r="I12" s="36">
        <v>11000</v>
      </c>
      <c r="J12" s="36">
        <v>3000</v>
      </c>
      <c r="K12" s="36"/>
      <c r="L12" s="36">
        <f>SUM(H12:K12)</f>
        <v>14500</v>
      </c>
      <c r="M12" s="356">
        <v>14500</v>
      </c>
      <c r="N12" s="36"/>
      <c r="O12" s="80" t="s">
        <v>240</v>
      </c>
      <c r="P12" s="36">
        <v>1500</v>
      </c>
    </row>
    <row r="13" spans="1:16" ht="15.75" customHeight="1" x14ac:dyDescent="0.3">
      <c r="A13" s="356"/>
      <c r="B13" s="358"/>
      <c r="C13" s="359"/>
      <c r="D13" s="361"/>
      <c r="E13" s="359"/>
      <c r="F13" s="31"/>
      <c r="G13" s="36"/>
      <c r="H13" s="36"/>
      <c r="I13" s="36"/>
      <c r="J13" s="36"/>
      <c r="K13" s="36"/>
      <c r="L13" s="36">
        <f>SUM(H13:K13)</f>
        <v>0</v>
      </c>
      <c r="M13" s="356"/>
      <c r="N13" s="36"/>
      <c r="O13" s="80"/>
      <c r="P13" s="36"/>
    </row>
    <row r="14" spans="1:16" ht="15.75" customHeight="1" x14ac:dyDescent="0.3">
      <c r="A14" s="356"/>
      <c r="B14" s="358"/>
      <c r="C14" s="359"/>
      <c r="D14" s="361"/>
      <c r="E14" s="359"/>
      <c r="F14" s="36"/>
      <c r="G14" s="36"/>
      <c r="H14" s="36"/>
      <c r="I14" s="36"/>
      <c r="J14" s="36"/>
      <c r="K14" s="36"/>
      <c r="L14" s="36">
        <f>SUM(H14:K14)</f>
        <v>0</v>
      </c>
      <c r="M14" s="356"/>
      <c r="N14" s="36"/>
      <c r="O14" s="73"/>
      <c r="P14" s="36"/>
    </row>
    <row r="15" spans="1:16" ht="15.75" customHeight="1" x14ac:dyDescent="0.3">
      <c r="A15" s="356"/>
      <c r="B15" s="358"/>
      <c r="C15" s="359"/>
      <c r="D15" s="361"/>
      <c r="E15" s="359"/>
      <c r="F15" s="36"/>
      <c r="G15" s="36"/>
      <c r="H15" s="36"/>
      <c r="I15" s="36"/>
      <c r="J15" s="36"/>
      <c r="K15" s="36"/>
      <c r="L15" s="36">
        <f>SUM(H15:K15)</f>
        <v>0</v>
      </c>
      <c r="M15" s="356"/>
      <c r="N15" s="36"/>
      <c r="O15" s="73"/>
      <c r="P15" s="36"/>
    </row>
    <row r="16" spans="1:16" ht="15.75" customHeight="1" x14ac:dyDescent="0.3">
      <c r="A16" s="356"/>
      <c r="B16" s="358"/>
      <c r="C16" s="359"/>
      <c r="D16" s="361"/>
      <c r="E16" s="359"/>
      <c r="F16" s="36"/>
      <c r="G16" s="36"/>
      <c r="H16" s="36"/>
      <c r="I16" s="36"/>
      <c r="J16" s="36"/>
      <c r="K16" s="36"/>
      <c r="L16" s="36">
        <f>SUM(H16:K16)</f>
        <v>0</v>
      </c>
      <c r="M16" s="356"/>
      <c r="N16" s="36"/>
      <c r="O16" s="81"/>
      <c r="P16" s="36"/>
    </row>
    <row r="17" spans="1:16" ht="15.75" customHeight="1" thickBot="1" x14ac:dyDescent="0.35">
      <c r="A17" s="356"/>
      <c r="B17" s="358"/>
      <c r="C17" s="359"/>
      <c r="D17" s="361"/>
      <c r="E17" s="359"/>
      <c r="F17" s="332"/>
      <c r="G17" s="332"/>
      <c r="H17" s="57">
        <f>SUM(H12:H16)</f>
        <v>500</v>
      </c>
      <c r="I17" s="57">
        <f t="shared" ref="I17:L17" si="1">SUM(I12:I16)</f>
        <v>11000</v>
      </c>
      <c r="J17" s="57">
        <f t="shared" si="1"/>
        <v>3000</v>
      </c>
      <c r="K17" s="57">
        <f t="shared" si="1"/>
        <v>0</v>
      </c>
      <c r="L17" s="57">
        <f t="shared" si="1"/>
        <v>14500</v>
      </c>
      <c r="M17" s="57"/>
      <c r="N17" s="57">
        <f>M12-L17</f>
        <v>0</v>
      </c>
      <c r="O17" s="113"/>
      <c r="P17" s="56">
        <f>SUM(P12:P16)</f>
        <v>1500</v>
      </c>
    </row>
    <row r="18" spans="1:16" ht="15.75" customHeight="1" thickTop="1" x14ac:dyDescent="0.3">
      <c r="A18" s="340">
        <v>3</v>
      </c>
      <c r="B18" s="351" t="s">
        <v>531</v>
      </c>
      <c r="C18" s="351" t="s">
        <v>532</v>
      </c>
      <c r="D18" s="339" t="s">
        <v>317</v>
      </c>
      <c r="E18" s="357" t="s">
        <v>423</v>
      </c>
      <c r="F18" s="4">
        <v>6942</v>
      </c>
      <c r="G18" s="26" t="s">
        <v>533</v>
      </c>
      <c r="H18" s="4">
        <v>500</v>
      </c>
      <c r="I18" s="4">
        <v>4500</v>
      </c>
      <c r="J18" s="4">
        <v>3000</v>
      </c>
      <c r="K18" s="4"/>
      <c r="L18" s="4">
        <f>SUM(H18:K18)</f>
        <v>8000</v>
      </c>
      <c r="M18" s="340">
        <v>14500</v>
      </c>
      <c r="N18" s="4"/>
      <c r="O18" s="94" t="s">
        <v>295</v>
      </c>
      <c r="P18" s="4"/>
    </row>
    <row r="19" spans="1:16" ht="15.75" customHeight="1" x14ac:dyDescent="0.3">
      <c r="A19" s="340"/>
      <c r="B19" s="351"/>
      <c r="C19" s="351"/>
      <c r="D19" s="339"/>
      <c r="E19" s="351"/>
      <c r="F19" s="16"/>
      <c r="G19" s="4"/>
      <c r="H19" s="4"/>
      <c r="I19" s="4"/>
      <c r="J19" s="4"/>
      <c r="K19" s="4"/>
      <c r="L19" s="4">
        <f>SUM(H19:K19)</f>
        <v>0</v>
      </c>
      <c r="M19" s="340"/>
      <c r="N19" s="4"/>
      <c r="O19" s="71"/>
      <c r="P19" s="4"/>
    </row>
    <row r="20" spans="1:16" ht="15.75" customHeight="1" x14ac:dyDescent="0.3">
      <c r="A20" s="340"/>
      <c r="B20" s="351"/>
      <c r="C20" s="351"/>
      <c r="D20" s="339"/>
      <c r="E20" s="351"/>
      <c r="F20" s="4"/>
      <c r="G20" s="4"/>
      <c r="H20" s="4"/>
      <c r="I20" s="4"/>
      <c r="J20" s="4"/>
      <c r="K20" s="4"/>
      <c r="L20" s="4">
        <f>SUM(H20:K20)</f>
        <v>0</v>
      </c>
      <c r="M20" s="340"/>
      <c r="N20" s="4"/>
      <c r="O20" s="78"/>
      <c r="P20" s="4"/>
    </row>
    <row r="21" spans="1:16" ht="15.75" customHeight="1" x14ac:dyDescent="0.3">
      <c r="A21" s="340"/>
      <c r="B21" s="351"/>
      <c r="C21" s="351"/>
      <c r="D21" s="339"/>
      <c r="E21" s="351"/>
      <c r="F21" s="4"/>
      <c r="G21" s="4"/>
      <c r="H21" s="4"/>
      <c r="I21" s="4"/>
      <c r="J21" s="4"/>
      <c r="K21" s="4"/>
      <c r="L21" s="4">
        <f>SUM(H21:K21)</f>
        <v>0</v>
      </c>
      <c r="M21" s="340"/>
      <c r="N21" s="4"/>
      <c r="O21" s="71"/>
      <c r="P21" s="4"/>
    </row>
    <row r="22" spans="1:16" ht="15.75" customHeight="1" x14ac:dyDescent="0.3">
      <c r="A22" s="340"/>
      <c r="B22" s="351"/>
      <c r="C22" s="351"/>
      <c r="D22" s="339"/>
      <c r="E22" s="351"/>
      <c r="F22" s="4"/>
      <c r="G22" s="4"/>
      <c r="H22" s="4"/>
      <c r="I22" s="4"/>
      <c r="J22" s="4"/>
      <c r="K22" s="4"/>
      <c r="L22" s="4">
        <f>SUM(H22:K22)</f>
        <v>0</v>
      </c>
      <c r="M22" s="340"/>
      <c r="N22" s="4"/>
      <c r="O22" s="71"/>
      <c r="P22" s="4"/>
    </row>
    <row r="23" spans="1:16" ht="15.75" customHeight="1" thickBot="1" x14ac:dyDescent="0.35">
      <c r="A23" s="340"/>
      <c r="B23" s="351"/>
      <c r="C23" s="351"/>
      <c r="D23" s="339"/>
      <c r="E23" s="351"/>
      <c r="F23" s="350"/>
      <c r="G23" s="350"/>
      <c r="H23" s="56">
        <f>SUM(H18:H22)</f>
        <v>500</v>
      </c>
      <c r="I23" s="56">
        <f t="shared" ref="I23:L23" si="2">SUM(I18:I22)</f>
        <v>4500</v>
      </c>
      <c r="J23" s="56">
        <f t="shared" si="2"/>
        <v>3000</v>
      </c>
      <c r="K23" s="56">
        <f t="shared" si="2"/>
        <v>0</v>
      </c>
      <c r="L23" s="56">
        <f t="shared" si="2"/>
        <v>8000</v>
      </c>
      <c r="M23" s="56"/>
      <c r="N23" s="56">
        <f>M18-L23</f>
        <v>6500</v>
      </c>
      <c r="O23" s="99"/>
      <c r="P23" s="56">
        <f>SUM(P18:P22)</f>
        <v>0</v>
      </c>
    </row>
    <row r="24" spans="1:16" ht="15.75" customHeight="1" thickTop="1" x14ac:dyDescent="0.3">
      <c r="A24" s="353">
        <v>4</v>
      </c>
      <c r="B24" s="337" t="s">
        <v>774</v>
      </c>
      <c r="C24" s="286" t="s">
        <v>316</v>
      </c>
      <c r="D24" s="339" t="s">
        <v>629</v>
      </c>
      <c r="E24" s="297" t="s">
        <v>676</v>
      </c>
      <c r="F24" s="16">
        <v>6976</v>
      </c>
      <c r="G24" s="18" t="s">
        <v>775</v>
      </c>
      <c r="H24" s="4">
        <v>500</v>
      </c>
      <c r="I24" s="4">
        <v>4500</v>
      </c>
      <c r="J24" s="4">
        <v>3000</v>
      </c>
      <c r="K24" s="4"/>
      <c r="L24" s="4">
        <f>SUM(H24:K24)</f>
        <v>8000</v>
      </c>
      <c r="M24" s="340">
        <v>14500</v>
      </c>
      <c r="N24" s="4"/>
      <c r="O24" s="71" t="s">
        <v>295</v>
      </c>
      <c r="P24" s="31"/>
    </row>
    <row r="25" spans="1:16" ht="15.75" customHeight="1" x14ac:dyDescent="0.3">
      <c r="A25" s="353"/>
      <c r="B25" s="284"/>
      <c r="C25" s="287"/>
      <c r="D25" s="339"/>
      <c r="E25" s="354"/>
      <c r="F25" s="16"/>
      <c r="G25" s="27"/>
      <c r="H25" s="4"/>
      <c r="I25" s="4"/>
      <c r="J25" s="4"/>
      <c r="K25" s="4"/>
      <c r="L25" s="4">
        <f>SUM(H25:K25)</f>
        <v>0</v>
      </c>
      <c r="M25" s="340"/>
      <c r="N25" s="4"/>
      <c r="O25" s="71"/>
      <c r="P25" s="31"/>
    </row>
    <row r="26" spans="1:16" ht="15.75" customHeight="1" x14ac:dyDescent="0.3">
      <c r="A26" s="353"/>
      <c r="B26" s="284"/>
      <c r="C26" s="287"/>
      <c r="D26" s="339"/>
      <c r="E26" s="354"/>
      <c r="F26" s="16"/>
      <c r="G26" s="16"/>
      <c r="H26" s="4"/>
      <c r="I26" s="4"/>
      <c r="J26" s="4"/>
      <c r="K26" s="4"/>
      <c r="L26" s="4">
        <f>SUM(H26:K26)</f>
        <v>0</v>
      </c>
      <c r="M26" s="340"/>
      <c r="N26" s="4"/>
      <c r="O26" s="78"/>
      <c r="P26" s="31"/>
    </row>
    <row r="27" spans="1:16" ht="15.75" customHeight="1" x14ac:dyDescent="0.3">
      <c r="A27" s="353"/>
      <c r="B27" s="284"/>
      <c r="C27" s="287"/>
      <c r="D27" s="339"/>
      <c r="E27" s="354"/>
      <c r="F27" s="16"/>
      <c r="G27" s="16"/>
      <c r="H27" s="4"/>
      <c r="I27" s="4"/>
      <c r="J27" s="4"/>
      <c r="K27" s="4"/>
      <c r="L27" s="4">
        <f>SUM(H27:K27)</f>
        <v>0</v>
      </c>
      <c r="M27" s="340"/>
      <c r="N27" s="4"/>
      <c r="O27" s="72"/>
      <c r="P27" s="31"/>
    </row>
    <row r="28" spans="1:16" ht="15.75" customHeight="1" x14ac:dyDescent="0.3">
      <c r="A28" s="353"/>
      <c r="B28" s="284"/>
      <c r="C28" s="287"/>
      <c r="D28" s="339"/>
      <c r="E28" s="354"/>
      <c r="F28" s="16"/>
      <c r="G28" s="16"/>
      <c r="H28" s="4"/>
      <c r="I28" s="4"/>
      <c r="J28" s="4"/>
      <c r="K28" s="4"/>
      <c r="L28" s="4">
        <f>SUM(H28:K28)</f>
        <v>0</v>
      </c>
      <c r="M28" s="340"/>
      <c r="N28" s="4"/>
      <c r="O28" s="72"/>
      <c r="P28" s="31"/>
    </row>
    <row r="29" spans="1:16" ht="15.75" customHeight="1" thickBot="1" x14ac:dyDescent="0.35">
      <c r="A29" s="353"/>
      <c r="B29" s="285"/>
      <c r="C29" s="338"/>
      <c r="D29" s="339"/>
      <c r="E29" s="355"/>
      <c r="F29" s="363"/>
      <c r="G29" s="363"/>
      <c r="H29" s="56">
        <f>SUM(H24:H28)</f>
        <v>500</v>
      </c>
      <c r="I29" s="56">
        <f t="shared" ref="I29:L29" si="3">SUM(I24:I28)</f>
        <v>4500</v>
      </c>
      <c r="J29" s="56">
        <f t="shared" si="3"/>
        <v>3000</v>
      </c>
      <c r="K29" s="56">
        <f t="shared" si="3"/>
        <v>0</v>
      </c>
      <c r="L29" s="56">
        <f t="shared" si="3"/>
        <v>8000</v>
      </c>
      <c r="M29" s="56"/>
      <c r="N29" s="56">
        <f>M24-L29</f>
        <v>6500</v>
      </c>
      <c r="O29" s="99"/>
      <c r="P29" s="56">
        <f>SUM(P24:P28)</f>
        <v>0</v>
      </c>
    </row>
    <row r="30" spans="1:16" ht="15.75" customHeight="1" thickTop="1" x14ac:dyDescent="0.3">
      <c r="A30" s="356">
        <v>5</v>
      </c>
      <c r="B30" s="337" t="s">
        <v>916</v>
      </c>
      <c r="C30" s="286" t="s">
        <v>316</v>
      </c>
      <c r="D30" s="339" t="s">
        <v>629</v>
      </c>
      <c r="E30" s="297" t="s">
        <v>917</v>
      </c>
      <c r="F30" s="3">
        <v>7081</v>
      </c>
      <c r="G30" s="29" t="s">
        <v>918</v>
      </c>
      <c r="H30" s="20">
        <v>500</v>
      </c>
      <c r="I30" s="20">
        <v>4500</v>
      </c>
      <c r="J30" s="20">
        <v>3000</v>
      </c>
      <c r="K30" s="20"/>
      <c r="L30" s="20">
        <f>SUM(H30:K30)</f>
        <v>8000</v>
      </c>
      <c r="M30" s="241">
        <v>14500</v>
      </c>
      <c r="N30" s="20"/>
      <c r="O30" s="86" t="s">
        <v>295</v>
      </c>
      <c r="P30" s="20"/>
    </row>
    <row r="31" spans="1:16" ht="15.75" customHeight="1" x14ac:dyDescent="0.3">
      <c r="A31" s="356"/>
      <c r="B31" s="284"/>
      <c r="C31" s="287"/>
      <c r="D31" s="339"/>
      <c r="E31" s="287"/>
      <c r="F31" s="16"/>
      <c r="G31" s="4"/>
      <c r="H31" s="4"/>
      <c r="I31" s="4"/>
      <c r="J31" s="4"/>
      <c r="K31" s="4"/>
      <c r="L31" s="20">
        <f t="shared" ref="L31:L34" si="4">SUM(H31:K31)</f>
        <v>0</v>
      </c>
      <c r="M31" s="241"/>
      <c r="N31" s="4"/>
      <c r="O31" s="71"/>
      <c r="P31" s="4"/>
    </row>
    <row r="32" spans="1:16" ht="15.75" customHeight="1" x14ac:dyDescent="0.3">
      <c r="A32" s="356"/>
      <c r="B32" s="284"/>
      <c r="C32" s="287"/>
      <c r="D32" s="339"/>
      <c r="E32" s="287"/>
      <c r="F32" s="4"/>
      <c r="G32" s="4"/>
      <c r="H32" s="4"/>
      <c r="I32" s="4"/>
      <c r="J32" s="4"/>
      <c r="K32" s="4"/>
      <c r="L32" s="20">
        <f t="shared" si="4"/>
        <v>0</v>
      </c>
      <c r="M32" s="241"/>
      <c r="N32" s="4"/>
      <c r="O32" s="78"/>
      <c r="P32" s="4"/>
    </row>
    <row r="33" spans="1:17" ht="15.75" customHeight="1" x14ac:dyDescent="0.3">
      <c r="A33" s="356"/>
      <c r="B33" s="284"/>
      <c r="C33" s="287"/>
      <c r="D33" s="339"/>
      <c r="E33" s="287"/>
      <c r="F33" s="4"/>
      <c r="G33" s="4"/>
      <c r="H33" s="4"/>
      <c r="I33" s="4"/>
      <c r="J33" s="4"/>
      <c r="K33" s="4"/>
      <c r="L33" s="20">
        <f t="shared" si="4"/>
        <v>0</v>
      </c>
      <c r="M33" s="241"/>
      <c r="N33" s="4"/>
      <c r="O33" s="71"/>
      <c r="P33" s="4"/>
    </row>
    <row r="34" spans="1:17" ht="15.75" customHeight="1" thickBot="1" x14ac:dyDescent="0.35">
      <c r="A34" s="356"/>
      <c r="B34" s="284"/>
      <c r="C34" s="287"/>
      <c r="D34" s="339"/>
      <c r="E34" s="287"/>
      <c r="F34" s="6"/>
      <c r="G34" s="6"/>
      <c r="H34" s="6"/>
      <c r="I34" s="6"/>
      <c r="J34" s="6"/>
      <c r="K34" s="6"/>
      <c r="L34" s="20">
        <f t="shared" si="4"/>
        <v>0</v>
      </c>
      <c r="M34" s="242"/>
      <c r="N34" s="6"/>
      <c r="O34" s="87"/>
      <c r="P34" s="6"/>
    </row>
    <row r="35" spans="1:17" ht="15.75" customHeight="1" thickTop="1" thickBot="1" x14ac:dyDescent="0.35">
      <c r="A35" s="356"/>
      <c r="B35" s="285"/>
      <c r="C35" s="338"/>
      <c r="D35" s="339"/>
      <c r="E35" s="288"/>
      <c r="F35" s="243"/>
      <c r="G35" s="244"/>
      <c r="H35" s="8">
        <f t="shared" ref="H35:K35" si="5">SUM(H30:H34)</f>
        <v>500</v>
      </c>
      <c r="I35" s="8">
        <f t="shared" si="5"/>
        <v>4500</v>
      </c>
      <c r="J35" s="8">
        <f t="shared" si="5"/>
        <v>3000</v>
      </c>
      <c r="K35" s="8">
        <f t="shared" si="5"/>
        <v>0</v>
      </c>
      <c r="L35" s="8">
        <f>SUM(L30:L34)</f>
        <v>8000</v>
      </c>
      <c r="M35" s="8"/>
      <c r="N35" s="8">
        <f>M30-L35</f>
        <v>6500</v>
      </c>
      <c r="O35" s="100"/>
      <c r="P35" s="8">
        <f>SUM(P30:P34)</f>
        <v>0</v>
      </c>
    </row>
    <row r="36" spans="1:17" ht="16.5" customHeight="1" thickTop="1" x14ac:dyDescent="0.3">
      <c r="A36" s="271"/>
      <c r="B36" s="367"/>
      <c r="C36" s="264"/>
      <c r="D36" s="361"/>
      <c r="E36" s="269"/>
      <c r="F36" s="31"/>
      <c r="G36" s="35"/>
      <c r="H36" s="4"/>
      <c r="I36" s="4"/>
      <c r="J36" s="4"/>
      <c r="K36" s="4"/>
      <c r="L36" s="4">
        <f>SUM(H36:K36)</f>
        <v>0</v>
      </c>
      <c r="M36" s="340"/>
      <c r="N36" s="4"/>
      <c r="O36" s="80"/>
      <c r="P36" s="31"/>
    </row>
    <row r="37" spans="1:17" ht="16.5" customHeight="1" x14ac:dyDescent="0.3">
      <c r="A37" s="249"/>
      <c r="B37" s="262"/>
      <c r="C37" s="265"/>
      <c r="D37" s="361"/>
      <c r="E37" s="369"/>
      <c r="F37" s="31"/>
      <c r="G37" s="35"/>
      <c r="H37" s="4"/>
      <c r="I37" s="4"/>
      <c r="J37" s="4"/>
      <c r="K37" s="4"/>
      <c r="L37" s="4">
        <f>SUM(H37:K37)</f>
        <v>0</v>
      </c>
      <c r="M37" s="340"/>
      <c r="N37" s="4"/>
      <c r="O37" s="80"/>
      <c r="P37" s="31"/>
    </row>
    <row r="38" spans="1:17" ht="16.5" customHeight="1" x14ac:dyDescent="0.3">
      <c r="A38" s="249"/>
      <c r="B38" s="262"/>
      <c r="C38" s="265"/>
      <c r="D38" s="361"/>
      <c r="E38" s="369"/>
      <c r="F38" s="31"/>
      <c r="G38" s="32"/>
      <c r="H38" s="4"/>
      <c r="I38" s="4"/>
      <c r="J38" s="4"/>
      <c r="K38" s="4"/>
      <c r="L38" s="4">
        <f>SUM(H38:K38)</f>
        <v>0</v>
      </c>
      <c r="M38" s="340"/>
      <c r="N38" s="4"/>
      <c r="O38" s="80"/>
      <c r="P38" s="31"/>
    </row>
    <row r="39" spans="1:17" ht="16.5" customHeight="1" x14ac:dyDescent="0.3">
      <c r="A39" s="249"/>
      <c r="B39" s="262"/>
      <c r="C39" s="265"/>
      <c r="D39" s="361"/>
      <c r="E39" s="369"/>
      <c r="F39" s="31"/>
      <c r="G39" s="31"/>
      <c r="H39" s="4"/>
      <c r="I39" s="4"/>
      <c r="J39" s="4"/>
      <c r="K39" s="4"/>
      <c r="L39" s="4">
        <f>SUM(H39:K39)</f>
        <v>0</v>
      </c>
      <c r="M39" s="340"/>
      <c r="N39" s="4"/>
      <c r="O39" s="80"/>
      <c r="P39" s="31"/>
    </row>
    <row r="40" spans="1:17" ht="16.5" customHeight="1" x14ac:dyDescent="0.3">
      <c r="A40" s="249"/>
      <c r="B40" s="262"/>
      <c r="C40" s="265"/>
      <c r="D40" s="361"/>
      <c r="E40" s="369"/>
      <c r="F40" s="31"/>
      <c r="G40" s="31"/>
      <c r="H40" s="4"/>
      <c r="I40" s="4"/>
      <c r="J40" s="4"/>
      <c r="K40" s="4"/>
      <c r="L40" s="4">
        <f>SUM(H40:K40)</f>
        <v>0</v>
      </c>
      <c r="M40" s="340"/>
      <c r="N40" s="4"/>
      <c r="O40" s="98"/>
      <c r="P40" s="31"/>
    </row>
    <row r="41" spans="1:17" ht="16.5" customHeight="1" thickBot="1" x14ac:dyDescent="0.35">
      <c r="A41" s="366"/>
      <c r="B41" s="263"/>
      <c r="C41" s="368"/>
      <c r="D41" s="361"/>
      <c r="E41" s="370"/>
      <c r="F41" s="364"/>
      <c r="G41" s="365"/>
      <c r="H41" s="56">
        <f>SUM(H36:H40)</f>
        <v>0</v>
      </c>
      <c r="I41" s="56">
        <f t="shared" ref="I41:L41" si="6">SUM(I36:I40)</f>
        <v>0</v>
      </c>
      <c r="J41" s="56">
        <f t="shared" si="6"/>
        <v>0</v>
      </c>
      <c r="K41" s="56">
        <f t="shared" si="6"/>
        <v>0</v>
      </c>
      <c r="L41" s="56">
        <f t="shared" si="6"/>
        <v>0</v>
      </c>
      <c r="M41" s="56"/>
      <c r="N41" s="56">
        <f>M36-L41</f>
        <v>0</v>
      </c>
      <c r="O41" s="170"/>
      <c r="P41" s="57"/>
    </row>
    <row r="42" spans="1:17" ht="16.5" customHeight="1" thickTop="1" thickBot="1" x14ac:dyDescent="0.35">
      <c r="A42" s="271"/>
      <c r="B42" s="367"/>
      <c r="C42" s="264"/>
      <c r="D42" s="361"/>
      <c r="E42" s="269"/>
      <c r="F42" s="31"/>
      <c r="G42" s="35"/>
      <c r="H42" s="4"/>
      <c r="I42" s="4"/>
      <c r="J42" s="4"/>
      <c r="K42" s="4"/>
      <c r="L42" s="4">
        <f>SUM(H42:K42)</f>
        <v>0</v>
      </c>
      <c r="M42" s="340"/>
      <c r="N42" s="4"/>
      <c r="O42" s="34"/>
      <c r="P42" s="31"/>
    </row>
    <row r="43" spans="1:17" ht="16.5" customHeight="1" thickTop="1" x14ac:dyDescent="0.3">
      <c r="A43" s="249"/>
      <c r="B43" s="262"/>
      <c r="C43" s="265"/>
      <c r="D43" s="361"/>
      <c r="E43" s="369"/>
      <c r="F43" s="31"/>
      <c r="G43" s="35"/>
      <c r="H43" s="4"/>
      <c r="I43" s="4"/>
      <c r="J43" s="4"/>
      <c r="K43" s="4"/>
      <c r="L43" s="4">
        <f>SUM(H43:K43)</f>
        <v>0</v>
      </c>
      <c r="M43" s="340"/>
      <c r="N43" s="4"/>
      <c r="O43" s="39"/>
      <c r="P43" s="31"/>
    </row>
    <row r="44" spans="1:17" ht="16.5" customHeight="1" x14ac:dyDescent="0.3">
      <c r="A44" s="249"/>
      <c r="B44" s="262"/>
      <c r="C44" s="265"/>
      <c r="D44" s="361"/>
      <c r="E44" s="369"/>
      <c r="F44" s="31"/>
      <c r="G44" s="32"/>
      <c r="H44" s="4"/>
      <c r="I44" s="4"/>
      <c r="J44" s="4"/>
      <c r="K44" s="4"/>
      <c r="L44" s="4">
        <f>SUM(H44:K44)</f>
        <v>0</v>
      </c>
      <c r="M44" s="340"/>
      <c r="N44" s="4"/>
      <c r="O44" s="36"/>
      <c r="P44" s="31"/>
      <c r="Q44" s="84"/>
    </row>
    <row r="45" spans="1:17" ht="16.5" customHeight="1" x14ac:dyDescent="0.3">
      <c r="A45" s="249"/>
      <c r="B45" s="262"/>
      <c r="C45" s="265"/>
      <c r="D45" s="361"/>
      <c r="E45" s="369"/>
      <c r="F45" s="31"/>
      <c r="G45" s="31"/>
      <c r="H45" s="4"/>
      <c r="I45" s="4"/>
      <c r="J45" s="4"/>
      <c r="K45" s="4"/>
      <c r="L45" s="4">
        <f>SUM(H45:K45)</f>
        <v>0</v>
      </c>
      <c r="M45" s="340"/>
      <c r="N45" s="4"/>
      <c r="O45" s="80"/>
      <c r="P45" s="31"/>
    </row>
    <row r="46" spans="1:17" ht="16.5" customHeight="1" x14ac:dyDescent="0.3">
      <c r="A46" s="249"/>
      <c r="B46" s="262"/>
      <c r="C46" s="265"/>
      <c r="D46" s="361"/>
      <c r="E46" s="369"/>
      <c r="F46" s="31"/>
      <c r="G46" s="31"/>
      <c r="H46" s="4"/>
      <c r="I46" s="4"/>
      <c r="J46" s="4"/>
      <c r="K46" s="4"/>
      <c r="L46" s="4">
        <f>SUM(H46:K46)</f>
        <v>0</v>
      </c>
      <c r="M46" s="340"/>
      <c r="N46" s="4"/>
      <c r="O46" s="98"/>
      <c r="P46" s="31"/>
    </row>
    <row r="47" spans="1:17" ht="16.5" customHeight="1" thickBot="1" x14ac:dyDescent="0.35">
      <c r="A47" s="366"/>
      <c r="B47" s="263"/>
      <c r="C47" s="368"/>
      <c r="D47" s="361"/>
      <c r="E47" s="370"/>
      <c r="F47" s="364"/>
      <c r="G47" s="365"/>
      <c r="H47" s="56">
        <f>SUM(H42:H46)</f>
        <v>0</v>
      </c>
      <c r="I47" s="56">
        <f t="shared" ref="I47:L47" si="7">SUM(I42:I46)</f>
        <v>0</v>
      </c>
      <c r="J47" s="56">
        <f t="shared" si="7"/>
        <v>0</v>
      </c>
      <c r="K47" s="56">
        <f t="shared" si="7"/>
        <v>0</v>
      </c>
      <c r="L47" s="56">
        <f t="shared" si="7"/>
        <v>0</v>
      </c>
      <c r="M47" s="56"/>
      <c r="N47" s="56">
        <f>M42-L47</f>
        <v>0</v>
      </c>
      <c r="O47" s="170"/>
      <c r="P47" s="57"/>
    </row>
    <row r="48" spans="1:17" ht="16.5" customHeight="1" thickTop="1" x14ac:dyDescent="0.3">
      <c r="A48" s="271"/>
      <c r="B48" s="367"/>
      <c r="C48" s="264"/>
      <c r="D48" s="361"/>
      <c r="E48" s="269"/>
      <c r="F48" s="31"/>
      <c r="G48" s="35"/>
      <c r="H48" s="4"/>
      <c r="I48" s="4"/>
      <c r="J48" s="4"/>
      <c r="K48" s="4"/>
      <c r="L48" s="4">
        <f>SUM(H48:K48)</f>
        <v>0</v>
      </c>
      <c r="M48" s="340"/>
      <c r="N48" s="4"/>
      <c r="O48" s="80"/>
      <c r="P48" s="31"/>
    </row>
    <row r="49" spans="1:16" ht="16.5" customHeight="1" x14ac:dyDescent="0.3">
      <c r="A49" s="249"/>
      <c r="B49" s="262"/>
      <c r="C49" s="265"/>
      <c r="D49" s="361"/>
      <c r="E49" s="369"/>
      <c r="F49" s="31"/>
      <c r="G49" s="35"/>
      <c r="H49" s="4"/>
      <c r="I49" s="4"/>
      <c r="J49" s="4"/>
      <c r="K49" s="4"/>
      <c r="L49" s="4">
        <f>SUM(H49:K49)</f>
        <v>0</v>
      </c>
      <c r="M49" s="340"/>
      <c r="N49" s="4"/>
      <c r="O49" s="80"/>
      <c r="P49" s="31"/>
    </row>
    <row r="50" spans="1:16" ht="16.5" customHeight="1" x14ac:dyDescent="0.3">
      <c r="A50" s="249"/>
      <c r="B50" s="262"/>
      <c r="C50" s="265"/>
      <c r="D50" s="361"/>
      <c r="E50" s="369"/>
      <c r="F50" s="31"/>
      <c r="G50" s="32"/>
      <c r="H50" s="4"/>
      <c r="I50" s="4"/>
      <c r="J50" s="4"/>
      <c r="K50" s="4"/>
      <c r="L50" s="4">
        <f>SUM(H50:K50)</f>
        <v>0</v>
      </c>
      <c r="M50" s="340"/>
      <c r="N50" s="4"/>
      <c r="O50" s="80"/>
      <c r="P50" s="31"/>
    </row>
    <row r="51" spans="1:16" ht="16.5" customHeight="1" x14ac:dyDescent="0.3">
      <c r="A51" s="249"/>
      <c r="B51" s="262"/>
      <c r="C51" s="265"/>
      <c r="D51" s="361"/>
      <c r="E51" s="369"/>
      <c r="F51" s="31"/>
      <c r="G51" s="31"/>
      <c r="H51" s="4"/>
      <c r="I51" s="4"/>
      <c r="J51" s="4"/>
      <c r="K51" s="4"/>
      <c r="L51" s="4">
        <f>SUM(H51:K51)</f>
        <v>0</v>
      </c>
      <c r="M51" s="340"/>
      <c r="N51" s="4"/>
      <c r="O51" s="80"/>
      <c r="P51" s="31"/>
    </row>
    <row r="52" spans="1:16" ht="16.5" customHeight="1" x14ac:dyDescent="0.3">
      <c r="A52" s="249"/>
      <c r="B52" s="262"/>
      <c r="C52" s="265"/>
      <c r="D52" s="361"/>
      <c r="E52" s="369"/>
      <c r="F52" s="31"/>
      <c r="G52" s="31"/>
      <c r="H52" s="4"/>
      <c r="I52" s="4"/>
      <c r="J52" s="4"/>
      <c r="K52" s="4"/>
      <c r="L52" s="4">
        <f>SUM(H52:K52)</f>
        <v>0</v>
      </c>
      <c r="M52" s="340"/>
      <c r="N52" s="4"/>
      <c r="O52" s="98"/>
      <c r="P52" s="31"/>
    </row>
    <row r="53" spans="1:16" ht="16.5" customHeight="1" thickBot="1" x14ac:dyDescent="0.35">
      <c r="A53" s="366"/>
      <c r="B53" s="263"/>
      <c r="C53" s="368"/>
      <c r="D53" s="361"/>
      <c r="E53" s="370"/>
      <c r="F53" s="364"/>
      <c r="G53" s="365"/>
      <c r="H53" s="56">
        <f>SUM(H48:H52)</f>
        <v>0</v>
      </c>
      <c r="I53" s="56">
        <f t="shared" ref="I53:L53" si="8">SUM(I48:I52)</f>
        <v>0</v>
      </c>
      <c r="J53" s="56">
        <f t="shared" si="8"/>
        <v>0</v>
      </c>
      <c r="K53" s="56">
        <f t="shared" si="8"/>
        <v>0</v>
      </c>
      <c r="L53" s="56">
        <f t="shared" si="8"/>
        <v>0</v>
      </c>
      <c r="M53" s="56"/>
      <c r="N53" s="56">
        <f>M48-L53</f>
        <v>0</v>
      </c>
      <c r="O53" s="170"/>
      <c r="P53" s="57"/>
    </row>
    <row r="54" spans="1:16" ht="16.5" customHeight="1" thickTop="1" x14ac:dyDescent="0.3">
      <c r="A54" s="349" t="s">
        <v>15</v>
      </c>
      <c r="B54" s="349"/>
      <c r="C54" s="349"/>
      <c r="D54" s="349"/>
      <c r="E54" s="349"/>
      <c r="F54" s="349"/>
      <c r="G54" s="349"/>
      <c r="H54" s="2">
        <f t="shared" ref="H54:L54" si="9">+H35+H29+H23+H17+H11+H41+H47+H53</f>
        <v>2500</v>
      </c>
      <c r="I54" s="2">
        <f t="shared" si="9"/>
        <v>27500</v>
      </c>
      <c r="J54" s="2">
        <f t="shared" si="9"/>
        <v>15000</v>
      </c>
      <c r="K54" s="2">
        <f t="shared" si="9"/>
        <v>0</v>
      </c>
      <c r="L54" s="2">
        <f t="shared" si="9"/>
        <v>45000</v>
      </c>
      <c r="M54" s="2">
        <f>+M42+M36+M30+M24+M18+M12+M6+M48</f>
        <v>72500</v>
      </c>
      <c r="N54" s="2">
        <f>+N35+N29+N23+N17+N11+N41+N47+N53</f>
        <v>27500</v>
      </c>
      <c r="O54" s="83"/>
      <c r="P54" s="2">
        <f>+P35+P29+P23+P17+P11+P41+P47+P53</f>
        <v>3000</v>
      </c>
    </row>
    <row r="57" spans="1:16" x14ac:dyDescent="0.3">
      <c r="C57" t="s">
        <v>34</v>
      </c>
      <c r="D57" s="146">
        <v>0</v>
      </c>
    </row>
    <row r="58" spans="1:16" x14ac:dyDescent="0.3">
      <c r="C58" t="s">
        <v>51</v>
      </c>
      <c r="D58" s="146">
        <v>0</v>
      </c>
    </row>
    <row r="59" spans="1:16" x14ac:dyDescent="0.3">
      <c r="C59" t="s">
        <v>52</v>
      </c>
      <c r="D59" s="146">
        <v>0</v>
      </c>
    </row>
  </sheetData>
  <mergeCells count="61">
    <mergeCell ref="M48:M52"/>
    <mergeCell ref="F53:G53"/>
    <mergeCell ref="M42:M46"/>
    <mergeCell ref="F47:G47"/>
    <mergeCell ref="A42:A47"/>
    <mergeCell ref="B42:B47"/>
    <mergeCell ref="C42:C47"/>
    <mergeCell ref="D42:D47"/>
    <mergeCell ref="E42:E47"/>
    <mergeCell ref="A48:A53"/>
    <mergeCell ref="B48:B53"/>
    <mergeCell ref="C48:C53"/>
    <mergeCell ref="D48:D53"/>
    <mergeCell ref="E48:E53"/>
    <mergeCell ref="M36:M40"/>
    <mergeCell ref="F41:G41"/>
    <mergeCell ref="A36:A41"/>
    <mergeCell ref="B36:B41"/>
    <mergeCell ref="C36:C41"/>
    <mergeCell ref="D36:D41"/>
    <mergeCell ref="E36:E41"/>
    <mergeCell ref="A54:G54"/>
    <mergeCell ref="M6:M10"/>
    <mergeCell ref="A6:A11"/>
    <mergeCell ref="B6:B11"/>
    <mergeCell ref="C6:C11"/>
    <mergeCell ref="D6:D11"/>
    <mergeCell ref="E6:E11"/>
    <mergeCell ref="D12:D17"/>
    <mergeCell ref="E12:E17"/>
    <mergeCell ref="F35:G35"/>
    <mergeCell ref="D18:D23"/>
    <mergeCell ref="M24:M28"/>
    <mergeCell ref="M30:M34"/>
    <mergeCell ref="F17:G17"/>
    <mergeCell ref="F23:G23"/>
    <mergeCell ref="F29:G29"/>
    <mergeCell ref="F11:G11"/>
    <mergeCell ref="A1:P1"/>
    <mergeCell ref="A2:P2"/>
    <mergeCell ref="A3:P3"/>
    <mergeCell ref="A4:P4"/>
    <mergeCell ref="A18:A23"/>
    <mergeCell ref="B18:B23"/>
    <mergeCell ref="C18:C23"/>
    <mergeCell ref="M12:M16"/>
    <mergeCell ref="M18:M22"/>
    <mergeCell ref="E18:E23"/>
    <mergeCell ref="A12:A17"/>
    <mergeCell ref="B12:B17"/>
    <mergeCell ref="C12:C17"/>
    <mergeCell ref="A30:A35"/>
    <mergeCell ref="B30:B35"/>
    <mergeCell ref="C30:C35"/>
    <mergeCell ref="D30:D35"/>
    <mergeCell ref="E30:E35"/>
    <mergeCell ref="A24:A29"/>
    <mergeCell ref="B24:B29"/>
    <mergeCell ref="C24:C29"/>
    <mergeCell ref="D24:D29"/>
    <mergeCell ref="E24:E29"/>
  </mergeCells>
  <pageMargins left="0.16" right="0" top="0.23622047244094491" bottom="0.23622047244094491" header="0.31496062992125984" footer="0.31496062992125984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0"/>
  <sheetViews>
    <sheetView workbookViewId="0">
      <pane xSplit="5" ySplit="5" topLeftCell="F47" activePane="bottomRight" state="frozen"/>
      <selection activeCell="D74" sqref="D74:E74"/>
      <selection pane="topRight" activeCell="D74" sqref="D74:E74"/>
      <selection pane="bottomLeft" activeCell="D74" sqref="D74:E74"/>
      <selection pane="bottomRight" activeCell="N61" sqref="N61"/>
    </sheetView>
  </sheetViews>
  <sheetFormatPr defaultRowHeight="14.4" x14ac:dyDescent="0.3"/>
  <cols>
    <col min="1" max="1" width="3.5546875" customWidth="1"/>
    <col min="2" max="2" width="28.5546875" customWidth="1"/>
    <col min="3" max="3" width="7.33203125" customWidth="1"/>
    <col min="4" max="4" width="9" customWidth="1"/>
    <col min="5" max="5" width="10.44140625" customWidth="1"/>
    <col min="6" max="6" width="7.5546875" customWidth="1"/>
    <col min="7" max="7" width="10.44140625" customWidth="1"/>
    <col min="8" max="8" width="8.6640625" customWidth="1"/>
    <col min="9" max="9" width="9.33203125" customWidth="1"/>
    <col min="10" max="10" width="10" customWidth="1"/>
    <col min="11" max="11" width="8.109375" customWidth="1"/>
    <col min="12" max="12" width="10.109375" customWidth="1"/>
    <col min="13" max="13" width="11.109375" customWidth="1"/>
    <col min="14" max="14" width="12.109375" customWidth="1"/>
    <col min="15" max="15" width="15" style="84" customWidth="1"/>
    <col min="16" max="16" width="8.44140625" customWidth="1"/>
  </cols>
  <sheetData>
    <row r="1" spans="1:16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 spans="1:16" ht="24.6" x14ac:dyDescent="0.4">
      <c r="A2" s="342" t="s">
        <v>11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</row>
    <row r="3" spans="1:16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</row>
    <row r="4" spans="1:16" ht="25.2" x14ac:dyDescent="0.45">
      <c r="A4" s="320" t="s">
        <v>432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</row>
    <row r="5" spans="1:16" ht="40.200000000000003" thickBot="1" x14ac:dyDescent="0.35">
      <c r="A5" s="23" t="s">
        <v>0</v>
      </c>
      <c r="B5" s="24" t="s">
        <v>13</v>
      </c>
      <c r="C5" s="61" t="s">
        <v>14</v>
      </c>
      <c r="D5" s="25" t="s">
        <v>1</v>
      </c>
      <c r="E5" s="13" t="s">
        <v>2</v>
      </c>
      <c r="F5" s="61" t="s">
        <v>8</v>
      </c>
      <c r="G5" s="13" t="s">
        <v>9</v>
      </c>
      <c r="H5" s="13" t="s">
        <v>46</v>
      </c>
      <c r="I5" s="13" t="s">
        <v>3</v>
      </c>
      <c r="J5" s="61" t="s">
        <v>4</v>
      </c>
      <c r="K5" s="61" t="s">
        <v>5</v>
      </c>
      <c r="L5" s="61" t="s">
        <v>15</v>
      </c>
      <c r="M5" s="61" t="s">
        <v>49</v>
      </c>
      <c r="N5" s="13" t="s">
        <v>6</v>
      </c>
      <c r="O5" s="85" t="s">
        <v>7</v>
      </c>
      <c r="P5" s="13" t="s">
        <v>44</v>
      </c>
    </row>
    <row r="6" spans="1:16" ht="15" thickTop="1" x14ac:dyDescent="0.3">
      <c r="A6" s="241">
        <v>1</v>
      </c>
      <c r="B6" s="253" t="s">
        <v>841</v>
      </c>
      <c r="C6" s="256"/>
      <c r="D6" s="257" t="s">
        <v>842</v>
      </c>
      <c r="E6" s="270"/>
      <c r="F6" s="20">
        <v>7019</v>
      </c>
      <c r="G6" s="22" t="s">
        <v>843</v>
      </c>
      <c r="H6" s="4">
        <v>500</v>
      </c>
      <c r="I6" s="4">
        <v>5000</v>
      </c>
      <c r="J6" s="4">
        <v>3000</v>
      </c>
      <c r="K6" s="4"/>
      <c r="L6" s="4">
        <f>SUM(H6:K6)</f>
        <v>8500</v>
      </c>
      <c r="M6" s="340">
        <v>17500</v>
      </c>
      <c r="N6" s="4"/>
      <c r="O6" s="86"/>
      <c r="P6" s="20">
        <v>1500</v>
      </c>
    </row>
    <row r="7" spans="1:16" x14ac:dyDescent="0.3">
      <c r="A7" s="241"/>
      <c r="B7" s="254"/>
      <c r="C7" s="257"/>
      <c r="D7" s="257"/>
      <c r="E7" s="257"/>
      <c r="F7" s="4"/>
      <c r="G7" s="4"/>
      <c r="H7" s="4"/>
      <c r="I7" s="4"/>
      <c r="J7" s="4"/>
      <c r="K7" s="4"/>
      <c r="L7" s="4">
        <f>SUM(H7:K7)</f>
        <v>0</v>
      </c>
      <c r="M7" s="340"/>
      <c r="N7" s="4"/>
      <c r="O7" s="71"/>
      <c r="P7" s="4"/>
    </row>
    <row r="8" spans="1:16" x14ac:dyDescent="0.3">
      <c r="A8" s="241"/>
      <c r="B8" s="254"/>
      <c r="C8" s="257"/>
      <c r="D8" s="257"/>
      <c r="E8" s="257"/>
      <c r="F8" s="16"/>
      <c r="G8" s="4"/>
      <c r="H8" s="4"/>
      <c r="I8" s="4"/>
      <c r="J8" s="4"/>
      <c r="K8" s="4"/>
      <c r="L8" s="4">
        <f>SUM(H8:K8)</f>
        <v>0</v>
      </c>
      <c r="M8" s="340"/>
      <c r="N8" s="4"/>
      <c r="O8" s="78"/>
      <c r="P8" s="4"/>
    </row>
    <row r="9" spans="1:16" x14ac:dyDescent="0.3">
      <c r="A9" s="241"/>
      <c r="B9" s="254"/>
      <c r="C9" s="257"/>
      <c r="D9" s="257"/>
      <c r="E9" s="257"/>
      <c r="F9" s="4"/>
      <c r="G9" s="4"/>
      <c r="H9" s="4"/>
      <c r="I9" s="4"/>
      <c r="J9" s="4"/>
      <c r="K9" s="4"/>
      <c r="L9" s="4">
        <f>SUM(H9:K9)</f>
        <v>0</v>
      </c>
      <c r="M9" s="340"/>
      <c r="N9" s="4"/>
      <c r="O9" s="71"/>
      <c r="P9" s="4"/>
    </row>
    <row r="10" spans="1:16" ht="15" thickBot="1" x14ac:dyDescent="0.35">
      <c r="A10" s="241"/>
      <c r="B10" s="254"/>
      <c r="C10" s="257"/>
      <c r="D10" s="257"/>
      <c r="E10" s="257"/>
      <c r="F10" s="6"/>
      <c r="G10" s="6"/>
      <c r="H10" s="4"/>
      <c r="I10" s="4"/>
      <c r="J10" s="4"/>
      <c r="K10" s="4"/>
      <c r="L10" s="4">
        <f>SUM(H10:K10)</f>
        <v>0</v>
      </c>
      <c r="M10" s="340"/>
      <c r="N10" s="4"/>
      <c r="O10" s="87"/>
      <c r="P10" s="6"/>
    </row>
    <row r="11" spans="1:16" ht="15.6" thickTop="1" thickBot="1" x14ac:dyDescent="0.35">
      <c r="A11" s="242"/>
      <c r="B11" s="255"/>
      <c r="C11" s="258"/>
      <c r="D11" s="258"/>
      <c r="E11" s="258"/>
      <c r="F11" s="243"/>
      <c r="G11" s="244"/>
      <c r="H11" s="56">
        <f>SUM(H6:H10)</f>
        <v>500</v>
      </c>
      <c r="I11" s="56">
        <f t="shared" ref="I11:L11" si="0">SUM(I6:I10)</f>
        <v>5000</v>
      </c>
      <c r="J11" s="56">
        <f t="shared" si="0"/>
        <v>3000</v>
      </c>
      <c r="K11" s="56">
        <f t="shared" si="0"/>
        <v>0</v>
      </c>
      <c r="L11" s="56">
        <f t="shared" si="0"/>
        <v>8500</v>
      </c>
      <c r="M11" s="56"/>
      <c r="N11" s="56">
        <f>M6-L11</f>
        <v>9000</v>
      </c>
      <c r="O11" s="100"/>
      <c r="P11" s="56">
        <f t="shared" ref="P11" si="1">SUM(P6:P10)</f>
        <v>1500</v>
      </c>
    </row>
    <row r="12" spans="1:16" ht="15.75" customHeight="1" thickTop="1" thickBot="1" x14ac:dyDescent="0.35">
      <c r="A12" s="248">
        <v>2</v>
      </c>
      <c r="B12" s="253" t="s">
        <v>862</v>
      </c>
      <c r="C12" s="256" t="s">
        <v>863</v>
      </c>
      <c r="D12" s="257" t="s">
        <v>842</v>
      </c>
      <c r="E12" s="371"/>
      <c r="F12" s="3">
        <v>7033</v>
      </c>
      <c r="G12" s="7" t="s">
        <v>864</v>
      </c>
      <c r="H12" s="4">
        <v>500</v>
      </c>
      <c r="I12" s="4">
        <v>5000</v>
      </c>
      <c r="J12" s="4">
        <v>3000</v>
      </c>
      <c r="K12" s="4"/>
      <c r="L12" s="4">
        <f>SUM(H12:K12)</f>
        <v>8500</v>
      </c>
      <c r="M12" s="340">
        <v>17500</v>
      </c>
      <c r="N12" s="4"/>
      <c r="O12" s="89"/>
      <c r="P12" s="3">
        <v>1500</v>
      </c>
    </row>
    <row r="13" spans="1:16" ht="15" thickTop="1" x14ac:dyDescent="0.3">
      <c r="A13" s="241"/>
      <c r="B13" s="254"/>
      <c r="C13" s="257"/>
      <c r="D13" s="257"/>
      <c r="E13" s="257"/>
      <c r="F13" s="16"/>
      <c r="G13" s="4"/>
      <c r="H13" s="4"/>
      <c r="I13" s="4"/>
      <c r="J13" s="4"/>
      <c r="K13" s="4"/>
      <c r="L13" s="4">
        <f>SUM(H13:K13)</f>
        <v>0</v>
      </c>
      <c r="M13" s="340"/>
      <c r="N13" s="4"/>
      <c r="O13" s="89"/>
      <c r="P13" s="4"/>
    </row>
    <row r="14" spans="1:16" x14ac:dyDescent="0.3">
      <c r="A14" s="241"/>
      <c r="B14" s="254"/>
      <c r="C14" s="257"/>
      <c r="D14" s="257"/>
      <c r="E14" s="257"/>
      <c r="F14" s="4"/>
      <c r="G14" s="4"/>
      <c r="H14" s="4"/>
      <c r="I14" s="4"/>
      <c r="J14" s="4"/>
      <c r="K14" s="4"/>
      <c r="L14" s="4">
        <f>SUM(H14:K14)</f>
        <v>0</v>
      </c>
      <c r="M14" s="340"/>
      <c r="N14" s="4"/>
      <c r="O14" s="86"/>
      <c r="P14" s="4"/>
    </row>
    <row r="15" spans="1:16" x14ac:dyDescent="0.3">
      <c r="A15" s="241"/>
      <c r="B15" s="254"/>
      <c r="C15" s="257"/>
      <c r="D15" s="257"/>
      <c r="E15" s="257"/>
      <c r="F15" s="4"/>
      <c r="G15" s="4"/>
      <c r="H15" s="4"/>
      <c r="I15" s="4"/>
      <c r="J15" s="4"/>
      <c r="K15" s="4"/>
      <c r="L15" s="4">
        <f>SUM(H15:K15)</f>
        <v>0</v>
      </c>
      <c r="M15" s="340"/>
      <c r="N15" s="4"/>
      <c r="O15" s="71"/>
      <c r="P15" s="4"/>
    </row>
    <row r="16" spans="1:16" ht="15" thickBot="1" x14ac:dyDescent="0.35">
      <c r="A16" s="241"/>
      <c r="B16" s="254"/>
      <c r="C16" s="257"/>
      <c r="D16" s="257"/>
      <c r="E16" s="257"/>
      <c r="F16" s="6"/>
      <c r="G16" s="6"/>
      <c r="H16" s="4"/>
      <c r="I16" s="4"/>
      <c r="J16" s="4"/>
      <c r="K16" s="4"/>
      <c r="L16" s="4">
        <f>SUM(H16:K16)</f>
        <v>0</v>
      </c>
      <c r="M16" s="340"/>
      <c r="N16" s="4"/>
      <c r="O16" s="78"/>
      <c r="P16" s="6"/>
    </row>
    <row r="17" spans="1:16" ht="15.6" thickTop="1" thickBot="1" x14ac:dyDescent="0.35">
      <c r="A17" s="242"/>
      <c r="B17" s="255"/>
      <c r="C17" s="258"/>
      <c r="D17" s="258"/>
      <c r="E17" s="258"/>
      <c r="F17" s="243"/>
      <c r="G17" s="244"/>
      <c r="H17" s="56">
        <f>SUM(H12:H16)</f>
        <v>500</v>
      </c>
      <c r="I17" s="56">
        <f t="shared" ref="I17:L17" si="2">SUM(I12:I16)</f>
        <v>5000</v>
      </c>
      <c r="J17" s="56">
        <f t="shared" si="2"/>
        <v>3000</v>
      </c>
      <c r="K17" s="56">
        <f t="shared" si="2"/>
        <v>0</v>
      </c>
      <c r="L17" s="56">
        <f t="shared" si="2"/>
        <v>8500</v>
      </c>
      <c r="M17" s="56"/>
      <c r="N17" s="56">
        <f>M12-L17</f>
        <v>9000</v>
      </c>
      <c r="O17" s="100"/>
      <c r="P17" s="56">
        <f t="shared" ref="P17" si="3">SUM(P12:P16)</f>
        <v>1500</v>
      </c>
    </row>
    <row r="18" spans="1:16" ht="15.75" customHeight="1" thickTop="1" x14ac:dyDescent="0.3">
      <c r="A18" s="312">
        <v>3</v>
      </c>
      <c r="B18" s="261" t="s">
        <v>908</v>
      </c>
      <c r="C18" s="264" t="s">
        <v>460</v>
      </c>
      <c r="D18" s="267" t="s">
        <v>842</v>
      </c>
      <c r="E18" s="269" t="s">
        <v>906</v>
      </c>
      <c r="F18" s="33">
        <v>7044</v>
      </c>
      <c r="G18" s="49" t="s">
        <v>869</v>
      </c>
      <c r="H18" s="36">
        <v>500</v>
      </c>
      <c r="I18" s="36">
        <v>14000</v>
      </c>
      <c r="J18" s="36">
        <v>3000</v>
      </c>
      <c r="K18" s="36"/>
      <c r="L18" s="36">
        <f>SUM(H18:K18)</f>
        <v>17500</v>
      </c>
      <c r="M18" s="356">
        <v>17500</v>
      </c>
      <c r="N18" s="36"/>
      <c r="O18" s="97"/>
      <c r="P18" s="33">
        <v>1500</v>
      </c>
    </row>
    <row r="19" spans="1:16" x14ac:dyDescent="0.3">
      <c r="A19" s="313"/>
      <c r="B19" s="262"/>
      <c r="C19" s="265"/>
      <c r="D19" s="267"/>
      <c r="E19" s="265"/>
      <c r="F19" s="31"/>
      <c r="G19" s="31"/>
      <c r="H19" s="36"/>
      <c r="I19" s="36"/>
      <c r="J19" s="36"/>
      <c r="K19" s="36"/>
      <c r="L19" s="36">
        <f>SUM(H19:K19)</f>
        <v>0</v>
      </c>
      <c r="M19" s="356"/>
      <c r="N19" s="36"/>
      <c r="O19" s="80"/>
      <c r="P19" s="31"/>
    </row>
    <row r="20" spans="1:16" x14ac:dyDescent="0.3">
      <c r="A20" s="313"/>
      <c r="B20" s="262"/>
      <c r="C20" s="265"/>
      <c r="D20" s="267"/>
      <c r="E20" s="265"/>
      <c r="F20" s="31"/>
      <c r="G20" s="31"/>
      <c r="H20" s="36"/>
      <c r="I20" s="36"/>
      <c r="J20" s="36"/>
      <c r="K20" s="36"/>
      <c r="L20" s="36">
        <f>SUM(H20:K20)</f>
        <v>0</v>
      </c>
      <c r="M20" s="356"/>
      <c r="N20" s="36"/>
      <c r="O20" s="98"/>
      <c r="P20" s="31"/>
    </row>
    <row r="21" spans="1:16" x14ac:dyDescent="0.3">
      <c r="A21" s="313"/>
      <c r="B21" s="262"/>
      <c r="C21" s="265"/>
      <c r="D21" s="267"/>
      <c r="E21" s="265"/>
      <c r="F21" s="31"/>
      <c r="G21" s="31"/>
      <c r="H21" s="36"/>
      <c r="I21" s="36"/>
      <c r="J21" s="36"/>
      <c r="K21" s="36"/>
      <c r="L21" s="36">
        <f>SUM(H21:K21)</f>
        <v>0</v>
      </c>
      <c r="M21" s="356"/>
      <c r="N21" s="36"/>
      <c r="O21" s="80"/>
      <c r="P21" s="31"/>
    </row>
    <row r="22" spans="1:16" ht="15" thickBot="1" x14ac:dyDescent="0.35">
      <c r="A22" s="313"/>
      <c r="B22" s="262"/>
      <c r="C22" s="265"/>
      <c r="D22" s="267"/>
      <c r="E22" s="265"/>
      <c r="F22" s="38"/>
      <c r="G22" s="38"/>
      <c r="H22" s="36"/>
      <c r="I22" s="36"/>
      <c r="J22" s="36"/>
      <c r="K22" s="36"/>
      <c r="L22" s="36">
        <f>SUM(H22:K22)</f>
        <v>0</v>
      </c>
      <c r="M22" s="356"/>
      <c r="N22" s="36"/>
      <c r="O22" s="95"/>
      <c r="P22" s="38"/>
    </row>
    <row r="23" spans="1:16" ht="15.6" thickTop="1" thickBot="1" x14ac:dyDescent="0.35">
      <c r="A23" s="314"/>
      <c r="B23" s="263"/>
      <c r="C23" s="266"/>
      <c r="D23" s="268"/>
      <c r="E23" s="266"/>
      <c r="F23" s="251"/>
      <c r="G23" s="252"/>
      <c r="H23" s="57">
        <f>SUM(H18:H22)</f>
        <v>500</v>
      </c>
      <c r="I23" s="57">
        <f t="shared" ref="I23:L23" si="4">SUM(I18:I22)</f>
        <v>14000</v>
      </c>
      <c r="J23" s="57">
        <f t="shared" si="4"/>
        <v>3000</v>
      </c>
      <c r="K23" s="57">
        <f t="shared" si="4"/>
        <v>0</v>
      </c>
      <c r="L23" s="57">
        <f t="shared" si="4"/>
        <v>17500</v>
      </c>
      <c r="M23" s="57"/>
      <c r="N23" s="57">
        <f>M18-L23</f>
        <v>0</v>
      </c>
      <c r="O23" s="111"/>
      <c r="P23" s="57">
        <f t="shared" ref="P23" si="5">SUM(P18:P22)</f>
        <v>1500</v>
      </c>
    </row>
    <row r="24" spans="1:16" ht="15.75" customHeight="1" thickTop="1" x14ac:dyDescent="0.3">
      <c r="A24" s="282">
        <v>4</v>
      </c>
      <c r="B24" s="283" t="s">
        <v>909</v>
      </c>
      <c r="C24" s="286" t="s">
        <v>910</v>
      </c>
      <c r="D24" s="257" t="s">
        <v>842</v>
      </c>
      <c r="E24" s="297"/>
      <c r="F24" s="16">
        <v>7052</v>
      </c>
      <c r="G24" s="18" t="s">
        <v>896</v>
      </c>
      <c r="H24" s="4">
        <v>500</v>
      </c>
      <c r="I24" s="4">
        <v>5000</v>
      </c>
      <c r="J24" s="4">
        <v>3000</v>
      </c>
      <c r="K24" s="4"/>
      <c r="L24" s="4">
        <f>SUM(H24:K24)</f>
        <v>8500</v>
      </c>
      <c r="M24" s="340">
        <v>17500</v>
      </c>
      <c r="N24" s="4"/>
      <c r="O24" s="86"/>
      <c r="P24" s="15">
        <v>1500</v>
      </c>
    </row>
    <row r="25" spans="1:16" x14ac:dyDescent="0.3">
      <c r="A25" s="246"/>
      <c r="B25" s="284"/>
      <c r="C25" s="287"/>
      <c r="D25" s="257"/>
      <c r="E25" s="287"/>
      <c r="F25" s="16"/>
      <c r="G25" s="27"/>
      <c r="H25" s="4"/>
      <c r="I25" s="4"/>
      <c r="J25" s="4"/>
      <c r="K25" s="4"/>
      <c r="L25" s="4">
        <f>SUM(H25:K25)</f>
        <v>0</v>
      </c>
      <c r="M25" s="340"/>
      <c r="N25" s="4"/>
      <c r="O25" s="71"/>
      <c r="P25" s="16"/>
    </row>
    <row r="26" spans="1:16" x14ac:dyDescent="0.3">
      <c r="A26" s="246"/>
      <c r="B26" s="284"/>
      <c r="C26" s="287"/>
      <c r="D26" s="257"/>
      <c r="E26" s="287"/>
      <c r="F26" s="16"/>
      <c r="G26" s="16"/>
      <c r="H26" s="4"/>
      <c r="I26" s="4"/>
      <c r="J26" s="4"/>
      <c r="K26" s="4"/>
      <c r="L26" s="4">
        <f>SUM(H26:K26)</f>
        <v>0</v>
      </c>
      <c r="M26" s="340"/>
      <c r="N26" s="4"/>
      <c r="O26" s="78"/>
      <c r="P26" s="16"/>
    </row>
    <row r="27" spans="1:16" x14ac:dyDescent="0.3">
      <c r="A27" s="246"/>
      <c r="B27" s="284"/>
      <c r="C27" s="287"/>
      <c r="D27" s="257"/>
      <c r="E27" s="287"/>
      <c r="F27" s="16"/>
      <c r="G27" s="16"/>
      <c r="H27" s="4"/>
      <c r="I27" s="4"/>
      <c r="J27" s="4"/>
      <c r="K27" s="4"/>
      <c r="L27" s="4">
        <f>SUM(H27:K27)</f>
        <v>0</v>
      </c>
      <c r="M27" s="340"/>
      <c r="N27" s="4"/>
      <c r="O27" s="72"/>
      <c r="P27" s="16"/>
    </row>
    <row r="28" spans="1:16" ht="15" thickBot="1" x14ac:dyDescent="0.35">
      <c r="A28" s="246"/>
      <c r="B28" s="284"/>
      <c r="C28" s="287"/>
      <c r="D28" s="257"/>
      <c r="E28" s="287"/>
      <c r="F28" s="17"/>
      <c r="G28" s="17"/>
      <c r="H28" s="4"/>
      <c r="I28" s="4"/>
      <c r="J28" s="4"/>
      <c r="K28" s="4"/>
      <c r="L28" s="4">
        <f>SUM(H28:K28)</f>
        <v>0</v>
      </c>
      <c r="M28" s="340"/>
      <c r="N28" s="4"/>
      <c r="O28" s="90"/>
      <c r="P28" s="17"/>
    </row>
    <row r="29" spans="1:16" ht="15.6" thickTop="1" thickBot="1" x14ac:dyDescent="0.35">
      <c r="A29" s="247"/>
      <c r="B29" s="285"/>
      <c r="C29" s="288"/>
      <c r="D29" s="258"/>
      <c r="E29" s="288"/>
      <c r="F29" s="243"/>
      <c r="G29" s="244"/>
      <c r="H29" s="56">
        <f>SUM(H24:H28)</f>
        <v>500</v>
      </c>
      <c r="I29" s="56">
        <f t="shared" ref="I29:L29" si="6">SUM(I24:I28)</f>
        <v>5000</v>
      </c>
      <c r="J29" s="56">
        <f t="shared" si="6"/>
        <v>3000</v>
      </c>
      <c r="K29" s="56">
        <f t="shared" si="6"/>
        <v>0</v>
      </c>
      <c r="L29" s="56">
        <f t="shared" si="6"/>
        <v>8500</v>
      </c>
      <c r="M29" s="56"/>
      <c r="N29" s="56">
        <f>M24-L29</f>
        <v>9000</v>
      </c>
      <c r="O29" s="100"/>
      <c r="P29" s="56">
        <f t="shared" ref="P29" si="7">SUM(P24:P28)</f>
        <v>1500</v>
      </c>
    </row>
    <row r="30" spans="1:16" ht="15.75" customHeight="1" thickTop="1" x14ac:dyDescent="0.3">
      <c r="A30" s="248">
        <v>5</v>
      </c>
      <c r="B30" s="253" t="s">
        <v>911</v>
      </c>
      <c r="C30" s="256"/>
      <c r="D30" s="257" t="s">
        <v>842</v>
      </c>
      <c r="E30" s="259"/>
      <c r="F30" s="4">
        <v>7053</v>
      </c>
      <c r="G30" s="5" t="s">
        <v>896</v>
      </c>
      <c r="H30" s="4">
        <v>500</v>
      </c>
      <c r="I30" s="4">
        <v>3000</v>
      </c>
      <c r="J30" s="4"/>
      <c r="K30" s="4"/>
      <c r="L30" s="4">
        <f>SUM(H30:K30)</f>
        <v>3500</v>
      </c>
      <c r="M30" s="340">
        <v>17500</v>
      </c>
      <c r="N30" s="4"/>
      <c r="O30" s="86"/>
      <c r="P30" s="3">
        <v>1500</v>
      </c>
    </row>
    <row r="31" spans="1:16" x14ac:dyDescent="0.3">
      <c r="A31" s="241"/>
      <c r="B31" s="254"/>
      <c r="C31" s="257"/>
      <c r="D31" s="257"/>
      <c r="E31" s="257"/>
      <c r="F31" s="4"/>
      <c r="G31" s="4"/>
      <c r="H31" s="4"/>
      <c r="I31" s="4"/>
      <c r="J31" s="4"/>
      <c r="K31" s="4"/>
      <c r="L31" s="4">
        <f>SUM(H31:K31)</f>
        <v>0</v>
      </c>
      <c r="M31" s="340"/>
      <c r="N31" s="4"/>
      <c r="O31" s="71"/>
      <c r="P31" s="4"/>
    </row>
    <row r="32" spans="1:16" x14ac:dyDescent="0.3">
      <c r="A32" s="241"/>
      <c r="B32" s="254"/>
      <c r="C32" s="257"/>
      <c r="D32" s="257"/>
      <c r="E32" s="257"/>
      <c r="F32" s="4"/>
      <c r="G32" s="4"/>
      <c r="H32" s="4"/>
      <c r="I32" s="4"/>
      <c r="J32" s="4"/>
      <c r="K32" s="4"/>
      <c r="L32" s="4">
        <f>SUM(H32:K32)</f>
        <v>0</v>
      </c>
      <c r="M32" s="340"/>
      <c r="N32" s="4"/>
      <c r="O32" s="78"/>
      <c r="P32" s="4"/>
    </row>
    <row r="33" spans="1:16" x14ac:dyDescent="0.3">
      <c r="A33" s="241"/>
      <c r="B33" s="254"/>
      <c r="C33" s="257"/>
      <c r="D33" s="257"/>
      <c r="E33" s="257"/>
      <c r="F33" s="4"/>
      <c r="G33" s="4"/>
      <c r="H33" s="4"/>
      <c r="I33" s="4"/>
      <c r="J33" s="4"/>
      <c r="K33" s="4"/>
      <c r="L33" s="4">
        <f>SUM(H33:K33)</f>
        <v>0</v>
      </c>
      <c r="M33" s="340"/>
      <c r="N33" s="4"/>
      <c r="O33" s="71"/>
      <c r="P33" s="4"/>
    </row>
    <row r="34" spans="1:16" ht="15" thickBot="1" x14ac:dyDescent="0.35">
      <c r="A34" s="241"/>
      <c r="B34" s="254"/>
      <c r="C34" s="257"/>
      <c r="D34" s="257"/>
      <c r="E34" s="257"/>
      <c r="F34" s="6"/>
      <c r="G34" s="6"/>
      <c r="H34" s="4"/>
      <c r="I34" s="4"/>
      <c r="J34" s="4"/>
      <c r="K34" s="4"/>
      <c r="L34" s="4">
        <f>SUM(H34:K34)</f>
        <v>0</v>
      </c>
      <c r="M34" s="340"/>
      <c r="N34" s="4"/>
      <c r="O34" s="87"/>
      <c r="P34" s="6"/>
    </row>
    <row r="35" spans="1:16" ht="15.6" thickTop="1" thickBot="1" x14ac:dyDescent="0.35">
      <c r="A35" s="242"/>
      <c r="B35" s="255"/>
      <c r="C35" s="258"/>
      <c r="D35" s="258"/>
      <c r="E35" s="258"/>
      <c r="F35" s="243"/>
      <c r="G35" s="244"/>
      <c r="H35" s="56">
        <f>SUM(H30:H34)</f>
        <v>500</v>
      </c>
      <c r="I35" s="56">
        <f t="shared" ref="I35:L35" si="8">SUM(I30:I34)</f>
        <v>3000</v>
      </c>
      <c r="J35" s="56">
        <f t="shared" si="8"/>
        <v>0</v>
      </c>
      <c r="K35" s="56">
        <f t="shared" si="8"/>
        <v>0</v>
      </c>
      <c r="L35" s="56">
        <f t="shared" si="8"/>
        <v>3500</v>
      </c>
      <c r="M35" s="56"/>
      <c r="N35" s="56">
        <f>M30-L35</f>
        <v>14000</v>
      </c>
      <c r="O35" s="100"/>
      <c r="P35" s="56">
        <f t="shared" ref="P35" si="9">SUM(P30:P34)</f>
        <v>1500</v>
      </c>
    </row>
    <row r="36" spans="1:16" ht="15.75" customHeight="1" thickTop="1" x14ac:dyDescent="0.3">
      <c r="A36" s="248">
        <v>6</v>
      </c>
      <c r="B36" s="253" t="s">
        <v>912</v>
      </c>
      <c r="C36" s="256" t="s">
        <v>297</v>
      </c>
      <c r="D36" s="257" t="s">
        <v>842</v>
      </c>
      <c r="E36" s="259" t="s">
        <v>914</v>
      </c>
      <c r="F36" s="4">
        <v>7074</v>
      </c>
      <c r="G36" s="5" t="s">
        <v>913</v>
      </c>
      <c r="H36" s="4">
        <v>500</v>
      </c>
      <c r="I36" s="4">
        <v>5000</v>
      </c>
      <c r="J36" s="4">
        <v>3000</v>
      </c>
      <c r="K36" s="4"/>
      <c r="L36" s="4">
        <f>SUM(H36:K36)</f>
        <v>8500</v>
      </c>
      <c r="M36" s="340">
        <v>17500</v>
      </c>
      <c r="N36" s="4"/>
      <c r="O36" s="86"/>
      <c r="P36" s="3">
        <v>1500</v>
      </c>
    </row>
    <row r="37" spans="1:16" x14ac:dyDescent="0.3">
      <c r="A37" s="241"/>
      <c r="B37" s="254"/>
      <c r="C37" s="257"/>
      <c r="D37" s="257"/>
      <c r="E37" s="257"/>
      <c r="F37" s="16"/>
      <c r="G37" s="26"/>
      <c r="H37" s="4"/>
      <c r="I37" s="4"/>
      <c r="J37" s="4"/>
      <c r="K37" s="4"/>
      <c r="L37" s="4">
        <f>SUM(H37:K37)</f>
        <v>0</v>
      </c>
      <c r="M37" s="340"/>
      <c r="N37" s="4"/>
      <c r="O37" s="71"/>
      <c r="P37" s="4"/>
    </row>
    <row r="38" spans="1:16" x14ac:dyDescent="0.3">
      <c r="A38" s="241"/>
      <c r="B38" s="254"/>
      <c r="C38" s="257"/>
      <c r="D38" s="257"/>
      <c r="E38" s="257"/>
      <c r="F38" s="16"/>
      <c r="G38" s="26"/>
      <c r="H38" s="4"/>
      <c r="I38" s="4"/>
      <c r="J38" s="4"/>
      <c r="K38" s="4"/>
      <c r="L38" s="4">
        <f>SUM(H38:K38)</f>
        <v>0</v>
      </c>
      <c r="M38" s="340"/>
      <c r="N38" s="4"/>
      <c r="O38" s="78"/>
      <c r="P38" s="4"/>
    </row>
    <row r="39" spans="1:16" x14ac:dyDescent="0.3">
      <c r="A39" s="241"/>
      <c r="B39" s="254"/>
      <c r="C39" s="257"/>
      <c r="D39" s="257"/>
      <c r="E39" s="257"/>
      <c r="F39" s="4"/>
      <c r="G39" s="4"/>
      <c r="H39" s="4"/>
      <c r="I39" s="4"/>
      <c r="J39" s="4"/>
      <c r="K39" s="4"/>
      <c r="L39" s="4">
        <f>SUM(H39:K39)</f>
        <v>0</v>
      </c>
      <c r="M39" s="340"/>
      <c r="N39" s="4"/>
      <c r="O39" s="71"/>
      <c r="P39" s="4"/>
    </row>
    <row r="40" spans="1:16" ht="15" thickBot="1" x14ac:dyDescent="0.35">
      <c r="A40" s="241"/>
      <c r="B40" s="254"/>
      <c r="C40" s="257"/>
      <c r="D40" s="257"/>
      <c r="E40" s="257"/>
      <c r="F40" s="6"/>
      <c r="G40" s="6"/>
      <c r="H40" s="4"/>
      <c r="I40" s="4"/>
      <c r="J40" s="4"/>
      <c r="K40" s="4"/>
      <c r="L40" s="4">
        <f>SUM(H40:K40)</f>
        <v>0</v>
      </c>
      <c r="M40" s="340"/>
      <c r="N40" s="4"/>
      <c r="O40" s="87"/>
      <c r="P40" s="6"/>
    </row>
    <row r="41" spans="1:16" ht="15.6" thickTop="1" thickBot="1" x14ac:dyDescent="0.35">
      <c r="A41" s="242"/>
      <c r="B41" s="255"/>
      <c r="C41" s="258"/>
      <c r="D41" s="258"/>
      <c r="E41" s="258"/>
      <c r="F41" s="243"/>
      <c r="G41" s="244"/>
      <c r="H41" s="56">
        <f>SUM(H36:H40)</f>
        <v>500</v>
      </c>
      <c r="I41" s="56">
        <f t="shared" ref="I41:L41" si="10">SUM(I36:I40)</f>
        <v>5000</v>
      </c>
      <c r="J41" s="56">
        <f t="shared" si="10"/>
        <v>3000</v>
      </c>
      <c r="K41" s="56">
        <f t="shared" si="10"/>
        <v>0</v>
      </c>
      <c r="L41" s="56">
        <f t="shared" si="10"/>
        <v>8500</v>
      </c>
      <c r="M41" s="56"/>
      <c r="N41" s="56">
        <f>M36-L41</f>
        <v>9000</v>
      </c>
      <c r="O41" s="100"/>
      <c r="P41" s="56">
        <f t="shared" ref="P41" si="11">SUM(P36:P40)</f>
        <v>1500</v>
      </c>
    </row>
    <row r="42" spans="1:16" ht="15" thickTop="1" x14ac:dyDescent="0.3">
      <c r="A42" s="248">
        <v>7</v>
      </c>
      <c r="B42" s="253" t="s">
        <v>922</v>
      </c>
      <c r="C42" s="256" t="s">
        <v>450</v>
      </c>
      <c r="D42" s="257" t="s">
        <v>842</v>
      </c>
      <c r="E42" s="259" t="s">
        <v>923</v>
      </c>
      <c r="F42" s="3">
        <v>7082</v>
      </c>
      <c r="G42" s="26" t="s">
        <v>918</v>
      </c>
      <c r="H42" s="4">
        <v>500</v>
      </c>
      <c r="I42" s="4">
        <v>5000</v>
      </c>
      <c r="J42" s="4">
        <v>3000</v>
      </c>
      <c r="K42" s="4"/>
      <c r="L42" s="4">
        <f>SUM(H42:K42)</f>
        <v>8500</v>
      </c>
      <c r="M42" s="340">
        <v>17500</v>
      </c>
      <c r="N42" s="4"/>
      <c r="O42" s="86"/>
      <c r="P42" s="3">
        <v>1500</v>
      </c>
    </row>
    <row r="43" spans="1:16" x14ac:dyDescent="0.3">
      <c r="A43" s="241"/>
      <c r="B43" s="254"/>
      <c r="C43" s="257"/>
      <c r="D43" s="257"/>
      <c r="E43" s="257"/>
      <c r="F43" s="16"/>
      <c r="G43" s="4"/>
      <c r="H43" s="4"/>
      <c r="I43" s="4"/>
      <c r="J43" s="4"/>
      <c r="K43" s="4"/>
      <c r="L43" s="4">
        <f>SUM(H43:K43)</f>
        <v>0</v>
      </c>
      <c r="M43" s="340"/>
      <c r="N43" s="4"/>
      <c r="O43" s="71"/>
      <c r="P43" s="4"/>
    </row>
    <row r="44" spans="1:16" x14ac:dyDescent="0.3">
      <c r="A44" s="241"/>
      <c r="B44" s="254"/>
      <c r="C44" s="257"/>
      <c r="D44" s="257"/>
      <c r="E44" s="257"/>
      <c r="F44" s="16"/>
      <c r="G44" s="26"/>
      <c r="H44" s="4"/>
      <c r="I44" s="4"/>
      <c r="J44" s="4"/>
      <c r="K44" s="4"/>
      <c r="L44" s="4">
        <f>SUM(H44:K44)</f>
        <v>0</v>
      </c>
      <c r="M44" s="340"/>
      <c r="N44" s="4"/>
      <c r="O44" s="78"/>
      <c r="P44" s="4"/>
    </row>
    <row r="45" spans="1:16" x14ac:dyDescent="0.3">
      <c r="A45" s="241"/>
      <c r="B45" s="254"/>
      <c r="C45" s="257"/>
      <c r="D45" s="257"/>
      <c r="E45" s="257"/>
      <c r="F45" s="16"/>
      <c r="G45" s="4"/>
      <c r="H45" s="4"/>
      <c r="I45" s="4"/>
      <c r="J45" s="4"/>
      <c r="K45" s="4"/>
      <c r="L45" s="4">
        <f>SUM(H45:K45)</f>
        <v>0</v>
      </c>
      <c r="M45" s="340"/>
      <c r="N45" s="4"/>
      <c r="O45" s="71"/>
      <c r="P45" s="4"/>
    </row>
    <row r="46" spans="1:16" ht="15" thickBot="1" x14ac:dyDescent="0.35">
      <c r="A46" s="241"/>
      <c r="B46" s="254"/>
      <c r="C46" s="257"/>
      <c r="D46" s="257"/>
      <c r="E46" s="257"/>
      <c r="F46" s="6"/>
      <c r="G46" s="6"/>
      <c r="H46" s="4"/>
      <c r="I46" s="4"/>
      <c r="J46" s="4"/>
      <c r="K46" s="4"/>
      <c r="L46" s="4">
        <f>SUM(H46:K46)</f>
        <v>0</v>
      </c>
      <c r="M46" s="340"/>
      <c r="N46" s="4"/>
      <c r="O46" s="87"/>
      <c r="P46" s="6"/>
    </row>
    <row r="47" spans="1:16" ht="15.6" thickTop="1" thickBot="1" x14ac:dyDescent="0.35">
      <c r="A47" s="242"/>
      <c r="B47" s="255"/>
      <c r="C47" s="258"/>
      <c r="D47" s="258"/>
      <c r="E47" s="258"/>
      <c r="F47" s="243"/>
      <c r="G47" s="244"/>
      <c r="H47" s="56">
        <f>SUM(H42:H46)</f>
        <v>500</v>
      </c>
      <c r="I47" s="56">
        <f t="shared" ref="I47:L47" si="12">SUM(I42:I46)</f>
        <v>5000</v>
      </c>
      <c r="J47" s="56">
        <f t="shared" si="12"/>
        <v>3000</v>
      </c>
      <c r="K47" s="56">
        <f t="shared" si="12"/>
        <v>0</v>
      </c>
      <c r="L47" s="56">
        <f t="shared" si="12"/>
        <v>8500</v>
      </c>
      <c r="M47" s="56"/>
      <c r="N47" s="56">
        <f>M42-L47</f>
        <v>9000</v>
      </c>
      <c r="O47" s="100"/>
      <c r="P47" s="56">
        <f t="shared" ref="P47" si="13">SUM(P42:P46)</f>
        <v>1500</v>
      </c>
    </row>
    <row r="48" spans="1:16" ht="15" thickTop="1" x14ac:dyDescent="0.3">
      <c r="A48" s="260"/>
      <c r="B48" s="279"/>
      <c r="C48" s="280"/>
      <c r="D48" s="265"/>
      <c r="E48" s="281"/>
      <c r="F48" s="39"/>
      <c r="G48" s="37"/>
      <c r="H48" s="4"/>
      <c r="I48" s="4"/>
      <c r="J48" s="4"/>
      <c r="K48" s="4"/>
      <c r="L48" s="4">
        <f>SUM(H48:K48)</f>
        <v>0</v>
      </c>
      <c r="M48" s="340"/>
      <c r="N48" s="4"/>
      <c r="O48" s="94"/>
      <c r="P48" s="39"/>
    </row>
    <row r="49" spans="1:16" x14ac:dyDescent="0.3">
      <c r="A49" s="249"/>
      <c r="B49" s="277"/>
      <c r="C49" s="267"/>
      <c r="D49" s="265"/>
      <c r="E49" s="267"/>
      <c r="F49" s="31"/>
      <c r="G49" s="36"/>
      <c r="H49" s="4"/>
      <c r="I49" s="4"/>
      <c r="J49" s="4"/>
      <c r="K49" s="4"/>
      <c r="L49" s="4">
        <f>SUM(H49:K49)</f>
        <v>0</v>
      </c>
      <c r="M49" s="340"/>
      <c r="N49" s="4"/>
      <c r="O49" s="73"/>
      <c r="P49" s="36"/>
    </row>
    <row r="50" spans="1:16" x14ac:dyDescent="0.3">
      <c r="A50" s="249"/>
      <c r="B50" s="277"/>
      <c r="C50" s="267"/>
      <c r="D50" s="265"/>
      <c r="E50" s="267"/>
      <c r="F50" s="31"/>
      <c r="G50" s="37"/>
      <c r="H50" s="4"/>
      <c r="I50" s="4"/>
      <c r="J50" s="4"/>
      <c r="K50" s="4"/>
      <c r="L50" s="4">
        <f>SUM(H50:K50)</f>
        <v>0</v>
      </c>
      <c r="M50" s="340"/>
      <c r="N50" s="4"/>
      <c r="O50" s="81"/>
      <c r="P50" s="36"/>
    </row>
    <row r="51" spans="1:16" x14ac:dyDescent="0.3">
      <c r="A51" s="249"/>
      <c r="B51" s="277"/>
      <c r="C51" s="267"/>
      <c r="D51" s="265"/>
      <c r="E51" s="267"/>
      <c r="F51" s="31"/>
      <c r="G51" s="36"/>
      <c r="H51" s="4"/>
      <c r="I51" s="4"/>
      <c r="J51" s="4"/>
      <c r="K51" s="4"/>
      <c r="L51" s="4">
        <f>SUM(H51:K51)</f>
        <v>0</v>
      </c>
      <c r="M51" s="340"/>
      <c r="N51" s="4"/>
      <c r="O51" s="73"/>
      <c r="P51" s="36"/>
    </row>
    <row r="52" spans="1:16" ht="15" thickBot="1" x14ac:dyDescent="0.35">
      <c r="A52" s="249"/>
      <c r="B52" s="277"/>
      <c r="C52" s="267"/>
      <c r="D52" s="265"/>
      <c r="E52" s="267"/>
      <c r="F52" s="41"/>
      <c r="G52" s="41"/>
      <c r="H52" s="4"/>
      <c r="I52" s="4"/>
      <c r="J52" s="4"/>
      <c r="K52" s="4"/>
      <c r="L52" s="4">
        <f>SUM(H52:K52)</f>
        <v>0</v>
      </c>
      <c r="M52" s="340"/>
      <c r="N52" s="4"/>
      <c r="O52" s="93"/>
      <c r="P52" s="41"/>
    </row>
    <row r="53" spans="1:16" ht="15.6" thickTop="1" thickBot="1" x14ac:dyDescent="0.35">
      <c r="A53" s="250"/>
      <c r="B53" s="278"/>
      <c r="C53" s="268"/>
      <c r="D53" s="266"/>
      <c r="E53" s="268"/>
      <c r="F53" s="251"/>
      <c r="G53" s="252"/>
      <c r="H53" s="56">
        <f>SUM(H48:H52)</f>
        <v>0</v>
      </c>
      <c r="I53" s="56">
        <f t="shared" ref="I53:L53" si="14">SUM(I48:I52)</f>
        <v>0</v>
      </c>
      <c r="J53" s="56">
        <f t="shared" si="14"/>
        <v>0</v>
      </c>
      <c r="K53" s="56">
        <f t="shared" si="14"/>
        <v>0</v>
      </c>
      <c r="L53" s="56">
        <f t="shared" si="14"/>
        <v>0</v>
      </c>
      <c r="M53" s="56"/>
      <c r="N53" s="56">
        <f>M48-L53</f>
        <v>0</v>
      </c>
      <c r="O53" s="153"/>
      <c r="P53" s="56">
        <f t="shared" ref="P53" si="15">SUM(P48:P52)</f>
        <v>0</v>
      </c>
    </row>
    <row r="54" spans="1:16" ht="15" thickTop="1" x14ac:dyDescent="0.3">
      <c r="A54" s="260"/>
      <c r="B54" s="279"/>
      <c r="C54" s="280"/>
      <c r="D54" s="265"/>
      <c r="E54" s="281"/>
      <c r="F54" s="39"/>
      <c r="G54" s="37"/>
      <c r="H54" s="4"/>
      <c r="I54" s="4"/>
      <c r="J54" s="4"/>
      <c r="K54" s="4"/>
      <c r="L54" s="4">
        <f>SUM(H54:K54)</f>
        <v>0</v>
      </c>
      <c r="M54" s="340"/>
      <c r="N54" s="4"/>
      <c r="O54" s="154"/>
      <c r="P54" s="39"/>
    </row>
    <row r="55" spans="1:16" x14ac:dyDescent="0.3">
      <c r="A55" s="249"/>
      <c r="B55" s="277"/>
      <c r="C55" s="267"/>
      <c r="D55" s="265"/>
      <c r="E55" s="267"/>
      <c r="F55" s="31"/>
      <c r="G55" s="36"/>
      <c r="H55" s="4"/>
      <c r="I55" s="4"/>
      <c r="J55" s="4"/>
      <c r="K55" s="4"/>
      <c r="L55" s="4">
        <f>SUM(H55:K55)</f>
        <v>0</v>
      </c>
      <c r="M55" s="340"/>
      <c r="N55" s="4"/>
      <c r="O55" s="34"/>
      <c r="P55" s="36"/>
    </row>
    <row r="56" spans="1:16" x14ac:dyDescent="0.3">
      <c r="A56" s="249"/>
      <c r="B56" s="277"/>
      <c r="C56" s="267"/>
      <c r="D56" s="265"/>
      <c r="E56" s="267"/>
      <c r="F56" s="31"/>
      <c r="G56" s="37"/>
      <c r="H56" s="4"/>
      <c r="I56" s="4"/>
      <c r="J56" s="4"/>
      <c r="K56" s="4"/>
      <c r="L56" s="4">
        <f>SUM(H56:K56)</f>
        <v>0</v>
      </c>
      <c r="M56" s="340"/>
      <c r="N56" s="4"/>
      <c r="O56" s="36"/>
      <c r="P56" s="36"/>
    </row>
    <row r="57" spans="1:16" x14ac:dyDescent="0.3">
      <c r="A57" s="249"/>
      <c r="B57" s="277"/>
      <c r="C57" s="267"/>
      <c r="D57" s="265"/>
      <c r="E57" s="267"/>
      <c r="F57" s="31"/>
      <c r="G57" s="36"/>
      <c r="H57" s="4"/>
      <c r="I57" s="4"/>
      <c r="J57" s="4"/>
      <c r="K57" s="4"/>
      <c r="L57" s="4">
        <f>SUM(H57:K57)</f>
        <v>0</v>
      </c>
      <c r="M57" s="340"/>
      <c r="N57" s="4"/>
      <c r="O57" s="37"/>
      <c r="P57" s="36"/>
    </row>
    <row r="58" spans="1:16" ht="16.2" thickBot="1" x14ac:dyDescent="0.35">
      <c r="A58" s="249"/>
      <c r="B58" s="277"/>
      <c r="C58" s="267"/>
      <c r="D58" s="265"/>
      <c r="E58" s="267"/>
      <c r="F58" s="41"/>
      <c r="G58" s="41"/>
      <c r="H58" s="4"/>
      <c r="I58" s="4"/>
      <c r="J58" s="4"/>
      <c r="K58" s="4"/>
      <c r="L58" s="4">
        <f>SUM(H58:K58)</f>
        <v>0</v>
      </c>
      <c r="M58" s="340"/>
      <c r="N58" s="4"/>
      <c r="O58" s="112"/>
      <c r="P58" s="41"/>
    </row>
    <row r="59" spans="1:16" ht="15.6" thickTop="1" thickBot="1" x14ac:dyDescent="0.35">
      <c r="A59" s="250"/>
      <c r="B59" s="278"/>
      <c r="C59" s="268"/>
      <c r="D59" s="266"/>
      <c r="E59" s="268"/>
      <c r="F59" s="251"/>
      <c r="G59" s="252"/>
      <c r="H59" s="56">
        <f>SUM(H54:H58)</f>
        <v>0</v>
      </c>
      <c r="I59" s="56">
        <f t="shared" ref="I59:L59" si="16">SUM(I54:I58)</f>
        <v>0</v>
      </c>
      <c r="J59" s="56">
        <f t="shared" si="16"/>
        <v>0</v>
      </c>
      <c r="K59" s="56">
        <f t="shared" si="16"/>
        <v>0</v>
      </c>
      <c r="L59" s="56">
        <f t="shared" si="16"/>
        <v>0</v>
      </c>
      <c r="M59" s="56"/>
      <c r="N59" s="56">
        <f>M54-L59</f>
        <v>0</v>
      </c>
      <c r="O59" s="153"/>
      <c r="P59" s="56">
        <f t="shared" ref="P59" si="17">SUM(P54:P58)</f>
        <v>0</v>
      </c>
    </row>
    <row r="60" spans="1:16" ht="16.2" thickTop="1" x14ac:dyDescent="0.3">
      <c r="A60" s="372" t="s">
        <v>15</v>
      </c>
      <c r="B60" s="373"/>
      <c r="C60" s="373"/>
      <c r="D60" s="373"/>
      <c r="E60" s="373"/>
      <c r="F60" s="373"/>
      <c r="G60" s="374"/>
      <c r="H60" s="2">
        <f t="shared" ref="H60:L60" si="18">SUM(+H59+H53+H47+H41+H35+H29+H23+H17+H11)</f>
        <v>3500</v>
      </c>
      <c r="I60" s="2">
        <f t="shared" si="18"/>
        <v>42000</v>
      </c>
      <c r="J60" s="2">
        <f t="shared" si="18"/>
        <v>18000</v>
      </c>
      <c r="K60" s="2">
        <f t="shared" si="18"/>
        <v>0</v>
      </c>
      <c r="L60" s="2">
        <f t="shared" si="18"/>
        <v>63500</v>
      </c>
      <c r="M60" s="2">
        <f>SUM(M6:M47)+M48+M54</f>
        <v>122500</v>
      </c>
      <c r="N60" s="2">
        <f>SUM(+N59+N53+N47+N41+N35+N29+N23+N17+N11)</f>
        <v>59000</v>
      </c>
      <c r="O60" s="83"/>
      <c r="P60" s="2">
        <f>SUM(+P59+P53+P47+P41+P35+P29+P23+P17+P11)</f>
        <v>10500</v>
      </c>
    </row>
  </sheetData>
  <mergeCells count="68">
    <mergeCell ref="M48:M52"/>
    <mergeCell ref="F53:G53"/>
    <mergeCell ref="A60:G60"/>
    <mergeCell ref="A42:A47"/>
    <mergeCell ref="B42:B47"/>
    <mergeCell ref="C42:C47"/>
    <mergeCell ref="D42:D47"/>
    <mergeCell ref="E42:E47"/>
    <mergeCell ref="F47:G47"/>
    <mergeCell ref="A48:A53"/>
    <mergeCell ref="B48:B53"/>
    <mergeCell ref="C48:C53"/>
    <mergeCell ref="D48:D53"/>
    <mergeCell ref="E48:E53"/>
    <mergeCell ref="M42:M46"/>
    <mergeCell ref="A12:A17"/>
    <mergeCell ref="B12:B17"/>
    <mergeCell ref="C12:C17"/>
    <mergeCell ref="D12:D17"/>
    <mergeCell ref="A18:A23"/>
    <mergeCell ref="B18:B23"/>
    <mergeCell ref="C18:C23"/>
    <mergeCell ref="D18:D23"/>
    <mergeCell ref="E18:E23"/>
    <mergeCell ref="F35:G35"/>
    <mergeCell ref="B24:B29"/>
    <mergeCell ref="B54:B59"/>
    <mergeCell ref="C24:C29"/>
    <mergeCell ref="D24:D29"/>
    <mergeCell ref="A30:A35"/>
    <mergeCell ref="B30:B35"/>
    <mergeCell ref="C30:C35"/>
    <mergeCell ref="D30:D35"/>
    <mergeCell ref="A36:A41"/>
    <mergeCell ref="B36:B41"/>
    <mergeCell ref="C36:C41"/>
    <mergeCell ref="D36:D41"/>
    <mergeCell ref="A24:A29"/>
    <mergeCell ref="C54:C59"/>
    <mergeCell ref="D54:D59"/>
    <mergeCell ref="A54:A59"/>
    <mergeCell ref="M6:M10"/>
    <mergeCell ref="F11:G11"/>
    <mergeCell ref="A1:P1"/>
    <mergeCell ref="A2:P2"/>
    <mergeCell ref="A3:P3"/>
    <mergeCell ref="A4:P4"/>
    <mergeCell ref="A6:A11"/>
    <mergeCell ref="B6:B11"/>
    <mergeCell ref="C6:C11"/>
    <mergeCell ref="D6:D11"/>
    <mergeCell ref="E6:E11"/>
    <mergeCell ref="E54:E59"/>
    <mergeCell ref="M12:M16"/>
    <mergeCell ref="M18:M22"/>
    <mergeCell ref="M24:M28"/>
    <mergeCell ref="M30:M34"/>
    <mergeCell ref="M36:M40"/>
    <mergeCell ref="E12:E17"/>
    <mergeCell ref="F41:G41"/>
    <mergeCell ref="E24:E29"/>
    <mergeCell ref="E30:E35"/>
    <mergeCell ref="E36:E41"/>
    <mergeCell ref="M54:M58"/>
    <mergeCell ref="F59:G59"/>
    <mergeCell ref="F17:G17"/>
    <mergeCell ref="F23:G23"/>
    <mergeCell ref="F29:G29"/>
  </mergeCells>
  <pageMargins left="0.19" right="0" top="0.23622047244094491" bottom="0.23622047244094491" header="0.31496062992125984" footer="0.31496062992125984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4"/>
  <sheetViews>
    <sheetView workbookViewId="0">
      <pane xSplit="5" ySplit="5" topLeftCell="F6" activePane="bottomRight" state="frozen"/>
      <selection activeCell="D74" sqref="D74:E74"/>
      <selection pane="topRight" activeCell="D74" sqref="D74:E74"/>
      <selection pane="bottomLeft" activeCell="D74" sqref="D74:E74"/>
      <selection pane="bottomRight" activeCell="A4" sqref="A4:P4"/>
    </sheetView>
  </sheetViews>
  <sheetFormatPr defaultRowHeight="14.4" x14ac:dyDescent="0.3"/>
  <cols>
    <col min="1" max="1" width="3.5546875" customWidth="1"/>
    <col min="2" max="2" width="30.33203125" customWidth="1"/>
    <col min="3" max="3" width="7.33203125" customWidth="1"/>
    <col min="4" max="4" width="9" customWidth="1"/>
    <col min="5" max="5" width="10.44140625" customWidth="1"/>
    <col min="6" max="6" width="7.5546875" customWidth="1"/>
    <col min="7" max="7" width="10.44140625" customWidth="1"/>
    <col min="8" max="8" width="8.33203125" customWidth="1"/>
    <col min="9" max="9" width="8.44140625" customWidth="1"/>
    <col min="10" max="10" width="10" customWidth="1"/>
    <col min="11" max="11" width="7.5546875" customWidth="1"/>
    <col min="12" max="12" width="10.109375" customWidth="1"/>
    <col min="13" max="13" width="11.109375" customWidth="1"/>
    <col min="14" max="14" width="12.109375" customWidth="1"/>
    <col min="15" max="15" width="15" style="84" customWidth="1"/>
    <col min="16" max="16" width="8.5546875" customWidth="1"/>
  </cols>
  <sheetData>
    <row r="1" spans="1:16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 spans="1:16" ht="24.6" x14ac:dyDescent="0.4">
      <c r="A2" s="342" t="s">
        <v>11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</row>
    <row r="3" spans="1:16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</row>
    <row r="4" spans="1:16" ht="25.2" x14ac:dyDescent="0.45">
      <c r="A4" s="320" t="s">
        <v>433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</row>
    <row r="5" spans="1:16" ht="42" thickBot="1" x14ac:dyDescent="0.35">
      <c r="A5" s="23" t="s">
        <v>0</v>
      </c>
      <c r="B5" s="24" t="s">
        <v>13</v>
      </c>
      <c r="C5" s="13" t="s">
        <v>14</v>
      </c>
      <c r="D5" s="25" t="s">
        <v>1</v>
      </c>
      <c r="E5" s="13" t="s">
        <v>2</v>
      </c>
      <c r="F5" s="61" t="s">
        <v>8</v>
      </c>
      <c r="G5" s="13" t="s">
        <v>9</v>
      </c>
      <c r="H5" s="13" t="s">
        <v>46</v>
      </c>
      <c r="I5" s="13" t="s">
        <v>3</v>
      </c>
      <c r="J5" s="61" t="s">
        <v>4</v>
      </c>
      <c r="K5" s="61" t="s">
        <v>5</v>
      </c>
      <c r="L5" s="61" t="s">
        <v>15</v>
      </c>
      <c r="M5" s="61" t="s">
        <v>49</v>
      </c>
      <c r="N5" s="13" t="s">
        <v>6</v>
      </c>
      <c r="O5" s="85" t="s">
        <v>7</v>
      </c>
      <c r="P5" s="13" t="s">
        <v>44</v>
      </c>
    </row>
    <row r="6" spans="1:16" ht="18" customHeight="1" thickTop="1" x14ac:dyDescent="0.3">
      <c r="A6" s="249"/>
      <c r="B6" s="279"/>
      <c r="C6" s="267"/>
      <c r="D6" s="265"/>
      <c r="E6" s="375"/>
      <c r="F6" s="34"/>
      <c r="G6" s="59"/>
      <c r="H6" s="4"/>
      <c r="I6" s="4"/>
      <c r="J6" s="4"/>
      <c r="K6" s="4"/>
      <c r="L6" s="4">
        <f>SUM(H6:K6)</f>
        <v>0</v>
      </c>
      <c r="M6" s="340"/>
      <c r="N6" s="4"/>
      <c r="O6" s="94"/>
      <c r="P6" s="34"/>
    </row>
    <row r="7" spans="1:16" ht="18" customHeight="1" x14ac:dyDescent="0.3">
      <c r="A7" s="249"/>
      <c r="B7" s="277"/>
      <c r="C7" s="267"/>
      <c r="D7" s="265"/>
      <c r="E7" s="267"/>
      <c r="F7" s="36"/>
      <c r="G7" s="36"/>
      <c r="H7" s="4"/>
      <c r="I7" s="4"/>
      <c r="J7" s="4"/>
      <c r="K7" s="4"/>
      <c r="L7" s="4">
        <f>SUM(H7:K7)</f>
        <v>0</v>
      </c>
      <c r="M7" s="340"/>
      <c r="N7" s="4"/>
      <c r="O7" s="73"/>
      <c r="P7" s="36"/>
    </row>
    <row r="8" spans="1:16" ht="18" customHeight="1" x14ac:dyDescent="0.3">
      <c r="A8" s="249"/>
      <c r="B8" s="277"/>
      <c r="C8" s="267"/>
      <c r="D8" s="265"/>
      <c r="E8" s="267"/>
      <c r="F8" s="31"/>
      <c r="G8" s="36"/>
      <c r="H8" s="4"/>
      <c r="I8" s="4"/>
      <c r="J8" s="4"/>
      <c r="K8" s="4"/>
      <c r="L8" s="4">
        <f>SUM(H8:K8)</f>
        <v>0</v>
      </c>
      <c r="M8" s="340"/>
      <c r="N8" s="4"/>
      <c r="O8" s="81"/>
      <c r="P8" s="36"/>
    </row>
    <row r="9" spans="1:16" ht="18" customHeight="1" x14ac:dyDescent="0.3">
      <c r="A9" s="249"/>
      <c r="B9" s="277"/>
      <c r="C9" s="267"/>
      <c r="D9" s="265"/>
      <c r="E9" s="267"/>
      <c r="F9" s="36"/>
      <c r="G9" s="36"/>
      <c r="H9" s="4"/>
      <c r="I9" s="4"/>
      <c r="J9" s="4"/>
      <c r="K9" s="4"/>
      <c r="L9" s="4">
        <f>SUM(H9:K9)</f>
        <v>0</v>
      </c>
      <c r="M9" s="340"/>
      <c r="N9" s="4"/>
      <c r="O9" s="73"/>
      <c r="P9" s="36"/>
    </row>
    <row r="10" spans="1:16" ht="18" customHeight="1" thickBot="1" x14ac:dyDescent="0.35">
      <c r="A10" s="249"/>
      <c r="B10" s="277"/>
      <c r="C10" s="267"/>
      <c r="D10" s="265"/>
      <c r="E10" s="267"/>
      <c r="F10" s="41"/>
      <c r="G10" s="41"/>
      <c r="H10" s="4"/>
      <c r="I10" s="4"/>
      <c r="J10" s="4"/>
      <c r="K10" s="4"/>
      <c r="L10" s="4">
        <f>SUM(H10:K10)</f>
        <v>0</v>
      </c>
      <c r="M10" s="340"/>
      <c r="N10" s="4"/>
      <c r="O10" s="93"/>
      <c r="P10" s="41"/>
    </row>
    <row r="11" spans="1:16" ht="18" customHeight="1" thickTop="1" thickBot="1" x14ac:dyDescent="0.35">
      <c r="A11" s="250"/>
      <c r="B11" s="278"/>
      <c r="C11" s="268"/>
      <c r="D11" s="266"/>
      <c r="E11" s="268"/>
      <c r="F11" s="251"/>
      <c r="G11" s="252"/>
      <c r="H11" s="56">
        <f>SUM(H6:H10)</f>
        <v>0</v>
      </c>
      <c r="I11" s="56">
        <f t="shared" ref="I11:L11" si="0">SUM(I6:I10)</f>
        <v>0</v>
      </c>
      <c r="J11" s="56">
        <f t="shared" si="0"/>
        <v>0</v>
      </c>
      <c r="K11" s="56">
        <f t="shared" si="0"/>
        <v>0</v>
      </c>
      <c r="L11" s="56">
        <f t="shared" si="0"/>
        <v>0</v>
      </c>
      <c r="M11" s="56"/>
      <c r="N11" s="56">
        <f>M6-L11</f>
        <v>0</v>
      </c>
      <c r="O11" s="111"/>
      <c r="P11" s="14"/>
    </row>
    <row r="12" spans="1:16" ht="18" customHeight="1" thickTop="1" x14ac:dyDescent="0.3">
      <c r="A12" s="248">
        <f>A6+1</f>
        <v>1</v>
      </c>
      <c r="B12" s="279"/>
      <c r="C12" s="280"/>
      <c r="D12" s="267"/>
      <c r="E12" s="376"/>
      <c r="F12" s="39"/>
      <c r="G12" s="40"/>
      <c r="H12" s="4"/>
      <c r="I12" s="4"/>
      <c r="J12" s="4"/>
      <c r="K12" s="4"/>
      <c r="L12" s="4">
        <f>SUM(H12:K12)</f>
        <v>0</v>
      </c>
      <c r="M12" s="340"/>
      <c r="N12" s="4"/>
      <c r="O12" s="89"/>
      <c r="P12" s="39"/>
    </row>
    <row r="13" spans="1:16" ht="18" customHeight="1" x14ac:dyDescent="0.3">
      <c r="A13" s="241"/>
      <c r="B13" s="277"/>
      <c r="C13" s="267"/>
      <c r="D13" s="267"/>
      <c r="E13" s="249"/>
      <c r="F13" s="31"/>
      <c r="G13" s="36"/>
      <c r="H13" s="4"/>
      <c r="I13" s="4"/>
      <c r="J13" s="4"/>
      <c r="K13" s="4"/>
      <c r="L13" s="4">
        <f>SUM(H13:K13)</f>
        <v>0</v>
      </c>
      <c r="M13" s="340"/>
      <c r="N13" s="4"/>
      <c r="O13" s="72"/>
      <c r="P13" s="36"/>
    </row>
    <row r="14" spans="1:16" ht="18" customHeight="1" x14ac:dyDescent="0.3">
      <c r="A14" s="241"/>
      <c r="B14" s="277"/>
      <c r="C14" s="267"/>
      <c r="D14" s="267"/>
      <c r="E14" s="249"/>
      <c r="F14" s="36"/>
      <c r="G14" s="36"/>
      <c r="H14" s="4"/>
      <c r="I14" s="4"/>
      <c r="J14" s="4"/>
      <c r="K14" s="4"/>
      <c r="L14" s="4">
        <f>SUM(H14:K14)</f>
        <v>0</v>
      </c>
      <c r="M14" s="340"/>
      <c r="N14" s="4"/>
      <c r="O14" s="86"/>
      <c r="P14" s="36"/>
    </row>
    <row r="15" spans="1:16" ht="18" customHeight="1" x14ac:dyDescent="0.3">
      <c r="A15" s="241"/>
      <c r="B15" s="277"/>
      <c r="C15" s="267"/>
      <c r="D15" s="267"/>
      <c r="E15" s="249"/>
      <c r="F15" s="36"/>
      <c r="G15" s="36"/>
      <c r="H15" s="4"/>
      <c r="I15" s="4"/>
      <c r="J15" s="4"/>
      <c r="K15" s="4"/>
      <c r="L15" s="4">
        <f>SUM(H15:K15)</f>
        <v>0</v>
      </c>
      <c r="M15" s="340"/>
      <c r="N15" s="4"/>
      <c r="O15" s="71"/>
      <c r="P15" s="36"/>
    </row>
    <row r="16" spans="1:16" ht="18" customHeight="1" thickBot="1" x14ac:dyDescent="0.35">
      <c r="A16" s="241"/>
      <c r="B16" s="277"/>
      <c r="C16" s="267"/>
      <c r="D16" s="267"/>
      <c r="E16" s="249"/>
      <c r="F16" s="41"/>
      <c r="G16" s="41"/>
      <c r="H16" s="4"/>
      <c r="I16" s="4"/>
      <c r="J16" s="4"/>
      <c r="K16" s="4"/>
      <c r="L16" s="4">
        <f>SUM(H16:K16)</f>
        <v>0</v>
      </c>
      <c r="M16" s="340"/>
      <c r="N16" s="4"/>
      <c r="O16" s="78"/>
      <c r="P16" s="41"/>
    </row>
    <row r="17" spans="1:16" ht="18" customHeight="1" thickTop="1" thickBot="1" x14ac:dyDescent="0.35">
      <c r="A17" s="242"/>
      <c r="B17" s="278"/>
      <c r="C17" s="268"/>
      <c r="D17" s="268"/>
      <c r="E17" s="250"/>
      <c r="F17" s="251" t="s">
        <v>17</v>
      </c>
      <c r="G17" s="252"/>
      <c r="H17" s="56">
        <f>SUM(H12:H16)</f>
        <v>0</v>
      </c>
      <c r="I17" s="56">
        <f t="shared" ref="I17:L17" si="1">SUM(I12:I16)</f>
        <v>0</v>
      </c>
      <c r="J17" s="56">
        <f t="shared" si="1"/>
        <v>0</v>
      </c>
      <c r="K17" s="56">
        <f t="shared" si="1"/>
        <v>0</v>
      </c>
      <c r="L17" s="56">
        <f t="shared" si="1"/>
        <v>0</v>
      </c>
      <c r="M17" s="56"/>
      <c r="N17" s="56">
        <f>M12-L17</f>
        <v>0</v>
      </c>
      <c r="O17" s="100" t="s">
        <v>48</v>
      </c>
      <c r="P17" s="14">
        <f t="shared" ref="P17" si="2">SUM(P12:P16)</f>
        <v>0</v>
      </c>
    </row>
    <row r="18" spans="1:16" ht="18" customHeight="1" thickTop="1" x14ac:dyDescent="0.3">
      <c r="A18" s="372" t="s">
        <v>15</v>
      </c>
      <c r="B18" s="373"/>
      <c r="C18" s="373"/>
      <c r="D18" s="373"/>
      <c r="E18" s="373"/>
      <c r="F18" s="373"/>
      <c r="G18" s="374"/>
      <c r="H18" s="2">
        <f t="shared" ref="H18:L18" si="3">+H17+H11</f>
        <v>0</v>
      </c>
      <c r="I18" s="2">
        <f t="shared" si="3"/>
        <v>0</v>
      </c>
      <c r="J18" s="2">
        <f t="shared" si="3"/>
        <v>0</v>
      </c>
      <c r="K18" s="2">
        <f t="shared" si="3"/>
        <v>0</v>
      </c>
      <c r="L18" s="2">
        <f t="shared" si="3"/>
        <v>0</v>
      </c>
      <c r="M18" s="2">
        <f>+M12+M6</f>
        <v>0</v>
      </c>
      <c r="N18" s="2">
        <f>+N17+N11</f>
        <v>0</v>
      </c>
      <c r="O18" s="83"/>
      <c r="P18" s="2">
        <f>+P17+P11</f>
        <v>0</v>
      </c>
    </row>
    <row r="22" spans="1:16" x14ac:dyDescent="0.3">
      <c r="C22" t="s">
        <v>34</v>
      </c>
    </row>
    <row r="23" spans="1:16" x14ac:dyDescent="0.3">
      <c r="C23" t="s">
        <v>51</v>
      </c>
    </row>
    <row r="24" spans="1:16" x14ac:dyDescent="0.3">
      <c r="C24" t="s">
        <v>52</v>
      </c>
      <c r="D24">
        <v>1</v>
      </c>
    </row>
  </sheetData>
  <mergeCells count="19">
    <mergeCell ref="A18:G18"/>
    <mergeCell ref="M12:M16"/>
    <mergeCell ref="F17:G17"/>
    <mergeCell ref="A12:A17"/>
    <mergeCell ref="B12:B17"/>
    <mergeCell ref="C12:C17"/>
    <mergeCell ref="D12:D17"/>
    <mergeCell ref="E12:E17"/>
    <mergeCell ref="M6:M10"/>
    <mergeCell ref="F11:G11"/>
    <mergeCell ref="A1:P1"/>
    <mergeCell ref="A2:P2"/>
    <mergeCell ref="A3:P3"/>
    <mergeCell ref="A4:P4"/>
    <mergeCell ref="A6:A11"/>
    <mergeCell ref="B6:B11"/>
    <mergeCell ref="C6:C11"/>
    <mergeCell ref="D6:D11"/>
    <mergeCell ref="E6:E11"/>
  </mergeCells>
  <pageMargins left="0.16" right="0" top="0.23622047244094491" bottom="0.23622047244094491" header="0.31496062992125984" footer="0.31496062992125984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5"/>
  <sheetViews>
    <sheetView workbookViewId="0">
      <pane xSplit="5" ySplit="5" topLeftCell="F86" activePane="bottomRight" state="frozen"/>
      <selection activeCell="D74" sqref="D74:E74"/>
      <selection pane="topRight" activeCell="D74" sqref="D74:E74"/>
      <selection pane="bottomLeft" activeCell="D74" sqref="D74:E74"/>
      <selection pane="bottomRight" activeCell="B90" sqref="B90:B95"/>
    </sheetView>
  </sheetViews>
  <sheetFormatPr defaultRowHeight="14.4" x14ac:dyDescent="0.3"/>
  <cols>
    <col min="1" max="1" width="3.5546875" customWidth="1"/>
    <col min="2" max="2" width="30.88671875" customWidth="1"/>
    <col min="3" max="3" width="6.6640625" customWidth="1"/>
    <col min="4" max="4" width="9.33203125" customWidth="1"/>
    <col min="5" max="5" width="10" customWidth="1"/>
    <col min="6" max="6" width="8" customWidth="1"/>
    <col min="7" max="7" width="10.5546875" customWidth="1"/>
    <col min="8" max="8" width="8.5546875" customWidth="1"/>
    <col min="9" max="9" width="9.33203125" customWidth="1"/>
    <col min="10" max="10" width="10" customWidth="1"/>
    <col min="11" max="11" width="7.5546875" customWidth="1"/>
    <col min="12" max="12" width="10.109375" customWidth="1"/>
    <col min="13" max="13" width="11.109375" customWidth="1"/>
    <col min="14" max="14" width="12.109375" customWidth="1"/>
    <col min="15" max="15" width="15" style="84" customWidth="1"/>
    <col min="16" max="16" width="8.88671875" customWidth="1"/>
  </cols>
  <sheetData>
    <row r="1" spans="1:16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 spans="1:16" ht="27.6" x14ac:dyDescent="0.45">
      <c r="A2" s="318" t="s">
        <v>11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</row>
    <row r="3" spans="1:16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</row>
    <row r="4" spans="1:16" ht="25.2" x14ac:dyDescent="0.45">
      <c r="A4" s="343" t="s">
        <v>434</v>
      </c>
      <c r="B4" s="343"/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</row>
    <row r="5" spans="1:16" ht="42" thickBot="1" x14ac:dyDescent="0.35">
      <c r="A5" s="23" t="s">
        <v>0</v>
      </c>
      <c r="B5" s="24" t="s">
        <v>13</v>
      </c>
      <c r="C5" s="13" t="s">
        <v>14</v>
      </c>
      <c r="D5" s="25" t="s">
        <v>1</v>
      </c>
      <c r="E5" s="13" t="s">
        <v>2</v>
      </c>
      <c r="F5" s="13" t="s">
        <v>8</v>
      </c>
      <c r="G5" s="13" t="s">
        <v>9</v>
      </c>
      <c r="H5" s="13" t="s">
        <v>46</v>
      </c>
      <c r="I5" s="13" t="s">
        <v>3</v>
      </c>
      <c r="J5" s="61" t="s">
        <v>4</v>
      </c>
      <c r="K5" s="61" t="s">
        <v>5</v>
      </c>
      <c r="L5" s="61" t="s">
        <v>15</v>
      </c>
      <c r="M5" s="61" t="s">
        <v>50</v>
      </c>
      <c r="N5" s="61" t="s">
        <v>6</v>
      </c>
      <c r="O5" s="85" t="s">
        <v>7</v>
      </c>
      <c r="P5" s="13" t="s">
        <v>44</v>
      </c>
    </row>
    <row r="6" spans="1:16" ht="15" thickTop="1" x14ac:dyDescent="0.3">
      <c r="A6" s="249">
        <v>1</v>
      </c>
      <c r="B6" s="279" t="s">
        <v>569</v>
      </c>
      <c r="C6" s="280" t="s">
        <v>191</v>
      </c>
      <c r="D6" s="265" t="s">
        <v>570</v>
      </c>
      <c r="E6" s="281" t="s">
        <v>571</v>
      </c>
      <c r="F6" s="34">
        <v>6902</v>
      </c>
      <c r="G6" s="59" t="s">
        <v>511</v>
      </c>
      <c r="H6" s="36">
        <v>500</v>
      </c>
      <c r="I6" s="36">
        <v>14000</v>
      </c>
      <c r="J6" s="36">
        <v>3000</v>
      </c>
      <c r="K6" s="36"/>
      <c r="L6" s="36">
        <f>SUM(H6:K6)</f>
        <v>17500</v>
      </c>
      <c r="M6" s="356">
        <v>17500</v>
      </c>
      <c r="N6" s="36"/>
      <c r="O6" s="94" t="s">
        <v>572</v>
      </c>
      <c r="P6" s="34"/>
    </row>
    <row r="7" spans="1:16" x14ac:dyDescent="0.3">
      <c r="A7" s="249"/>
      <c r="B7" s="277"/>
      <c r="C7" s="267"/>
      <c r="D7" s="265"/>
      <c r="E7" s="267"/>
      <c r="F7" s="36"/>
      <c r="G7" s="36"/>
      <c r="H7" s="36"/>
      <c r="I7" s="36"/>
      <c r="J7" s="36"/>
      <c r="K7" s="36"/>
      <c r="L7" s="36">
        <f>SUM(H7:K7)</f>
        <v>0</v>
      </c>
      <c r="M7" s="356"/>
      <c r="N7" s="36"/>
      <c r="O7" s="73"/>
      <c r="P7" s="36"/>
    </row>
    <row r="8" spans="1:16" x14ac:dyDescent="0.3">
      <c r="A8" s="249"/>
      <c r="B8" s="277"/>
      <c r="C8" s="267"/>
      <c r="D8" s="265"/>
      <c r="E8" s="267"/>
      <c r="F8" s="31"/>
      <c r="G8" s="36"/>
      <c r="H8" s="36"/>
      <c r="I8" s="36"/>
      <c r="J8" s="36"/>
      <c r="K8" s="36"/>
      <c r="L8" s="36">
        <f>SUM(H8:K8)</f>
        <v>0</v>
      </c>
      <c r="M8" s="356"/>
      <c r="N8" s="36"/>
      <c r="O8" s="81"/>
      <c r="P8" s="36"/>
    </row>
    <row r="9" spans="1:16" x14ac:dyDescent="0.3">
      <c r="A9" s="249"/>
      <c r="B9" s="277"/>
      <c r="C9" s="267"/>
      <c r="D9" s="265"/>
      <c r="E9" s="267"/>
      <c r="F9" s="36"/>
      <c r="G9" s="36"/>
      <c r="H9" s="36"/>
      <c r="I9" s="36"/>
      <c r="J9" s="36"/>
      <c r="K9" s="36"/>
      <c r="L9" s="36">
        <f>SUM(H9:K9)</f>
        <v>0</v>
      </c>
      <c r="M9" s="356"/>
      <c r="N9" s="36"/>
      <c r="O9" s="73"/>
      <c r="P9" s="36"/>
    </row>
    <row r="10" spans="1:16" ht="15" thickBot="1" x14ac:dyDescent="0.35">
      <c r="A10" s="249"/>
      <c r="B10" s="277"/>
      <c r="C10" s="267"/>
      <c r="D10" s="265"/>
      <c r="E10" s="267"/>
      <c r="F10" s="41"/>
      <c r="G10" s="41"/>
      <c r="H10" s="36"/>
      <c r="I10" s="36"/>
      <c r="J10" s="36"/>
      <c r="K10" s="36"/>
      <c r="L10" s="36">
        <f>SUM(H10:K10)</f>
        <v>0</v>
      </c>
      <c r="M10" s="356"/>
      <c r="N10" s="36"/>
      <c r="O10" s="93"/>
      <c r="P10" s="41"/>
    </row>
    <row r="11" spans="1:16" ht="15.6" thickTop="1" thickBot="1" x14ac:dyDescent="0.35">
      <c r="A11" s="250"/>
      <c r="B11" s="278"/>
      <c r="C11" s="268"/>
      <c r="D11" s="266"/>
      <c r="E11" s="268"/>
      <c r="F11" s="251"/>
      <c r="G11" s="252"/>
      <c r="H11" s="57">
        <f>SUM(H6:H10)</f>
        <v>500</v>
      </c>
      <c r="I11" s="57">
        <f t="shared" ref="I11:L11" si="0">SUM(I6:I10)</f>
        <v>14000</v>
      </c>
      <c r="J11" s="57">
        <f t="shared" si="0"/>
        <v>3000</v>
      </c>
      <c r="K11" s="57">
        <f t="shared" si="0"/>
        <v>0</v>
      </c>
      <c r="L11" s="57">
        <f t="shared" si="0"/>
        <v>17500</v>
      </c>
      <c r="M11" s="57"/>
      <c r="N11" s="57">
        <f>M6-L11</f>
        <v>0</v>
      </c>
      <c r="O11" s="113"/>
      <c r="P11" s="14"/>
    </row>
    <row r="12" spans="1:16" ht="15" thickTop="1" x14ac:dyDescent="0.3">
      <c r="A12" s="248">
        <v>2</v>
      </c>
      <c r="B12" s="253" t="s">
        <v>576</v>
      </c>
      <c r="C12" s="256" t="s">
        <v>577</v>
      </c>
      <c r="D12" s="287" t="s">
        <v>570</v>
      </c>
      <c r="E12" s="259" t="s">
        <v>571</v>
      </c>
      <c r="F12" s="20">
        <v>6929</v>
      </c>
      <c r="G12" s="22" t="s">
        <v>578</v>
      </c>
      <c r="H12" s="4">
        <v>500</v>
      </c>
      <c r="I12" s="4">
        <v>4000</v>
      </c>
      <c r="J12" s="4">
        <v>3000</v>
      </c>
      <c r="K12" s="4"/>
      <c r="L12" s="4">
        <f>SUM(H12:K12)</f>
        <v>7500</v>
      </c>
      <c r="M12" s="340">
        <v>17500</v>
      </c>
      <c r="N12" s="4"/>
      <c r="O12" s="89" t="s">
        <v>572</v>
      </c>
      <c r="P12" s="20"/>
    </row>
    <row r="13" spans="1:16" x14ac:dyDescent="0.3">
      <c r="A13" s="241"/>
      <c r="B13" s="254"/>
      <c r="C13" s="257"/>
      <c r="D13" s="287"/>
      <c r="E13" s="257"/>
      <c r="F13" s="4"/>
      <c r="G13" s="4"/>
      <c r="H13" s="4"/>
      <c r="I13" s="4"/>
      <c r="J13" s="4"/>
      <c r="K13" s="4"/>
      <c r="L13" s="4">
        <f>SUM(H13:K13)</f>
        <v>0</v>
      </c>
      <c r="M13" s="340"/>
      <c r="N13" s="4"/>
      <c r="O13" s="72"/>
      <c r="P13" s="4"/>
    </row>
    <row r="14" spans="1:16" x14ac:dyDescent="0.3">
      <c r="A14" s="241"/>
      <c r="B14" s="254"/>
      <c r="C14" s="257"/>
      <c r="D14" s="287"/>
      <c r="E14" s="257"/>
      <c r="F14" s="16"/>
      <c r="G14" s="4"/>
      <c r="H14" s="4"/>
      <c r="I14" s="4"/>
      <c r="J14" s="4"/>
      <c r="K14" s="4"/>
      <c r="L14" s="4">
        <f>SUM(H14:K14)</f>
        <v>0</v>
      </c>
      <c r="M14" s="340"/>
      <c r="N14" s="4"/>
      <c r="O14" s="86"/>
      <c r="P14" s="4"/>
    </row>
    <row r="15" spans="1:16" x14ac:dyDescent="0.3">
      <c r="A15" s="241"/>
      <c r="B15" s="254"/>
      <c r="C15" s="257"/>
      <c r="D15" s="287"/>
      <c r="E15" s="257"/>
      <c r="F15" s="4"/>
      <c r="G15" s="4"/>
      <c r="H15" s="4"/>
      <c r="I15" s="4"/>
      <c r="J15" s="4"/>
      <c r="K15" s="4"/>
      <c r="L15" s="4">
        <f>SUM(H15:K15)</f>
        <v>0</v>
      </c>
      <c r="M15" s="340"/>
      <c r="N15" s="4"/>
      <c r="O15" s="71"/>
      <c r="P15" s="4"/>
    </row>
    <row r="16" spans="1:16" ht="15" thickBot="1" x14ac:dyDescent="0.35">
      <c r="A16" s="241"/>
      <c r="B16" s="254"/>
      <c r="C16" s="257"/>
      <c r="D16" s="287"/>
      <c r="E16" s="257"/>
      <c r="F16" s="6"/>
      <c r="G16" s="6"/>
      <c r="H16" s="4"/>
      <c r="I16" s="4"/>
      <c r="J16" s="4"/>
      <c r="K16" s="4"/>
      <c r="L16" s="4">
        <f>SUM(H16:K16)</f>
        <v>0</v>
      </c>
      <c r="M16" s="340"/>
      <c r="N16" s="4"/>
      <c r="O16" s="78"/>
      <c r="P16" s="6"/>
    </row>
    <row r="17" spans="1:16" ht="15.6" thickTop="1" thickBot="1" x14ac:dyDescent="0.35">
      <c r="A17" s="242"/>
      <c r="B17" s="255"/>
      <c r="C17" s="258"/>
      <c r="D17" s="288"/>
      <c r="E17" s="258"/>
      <c r="F17" s="243"/>
      <c r="G17" s="244"/>
      <c r="H17" s="56">
        <f>SUM(H12:H16)</f>
        <v>500</v>
      </c>
      <c r="I17" s="56">
        <f t="shared" ref="I17:L17" si="1">SUM(I12:I16)</f>
        <v>4000</v>
      </c>
      <c r="J17" s="56">
        <f t="shared" si="1"/>
        <v>3000</v>
      </c>
      <c r="K17" s="56">
        <f t="shared" si="1"/>
        <v>0</v>
      </c>
      <c r="L17" s="56">
        <f t="shared" si="1"/>
        <v>7500</v>
      </c>
      <c r="M17" s="56"/>
      <c r="N17" s="56">
        <f>M12-L17</f>
        <v>10000</v>
      </c>
      <c r="O17" s="99"/>
      <c r="P17" s="8"/>
    </row>
    <row r="18" spans="1:16" ht="15" thickTop="1" x14ac:dyDescent="0.3">
      <c r="A18" s="248">
        <v>3</v>
      </c>
      <c r="B18" s="283" t="s">
        <v>579</v>
      </c>
      <c r="C18" s="286" t="s">
        <v>362</v>
      </c>
      <c r="D18" s="287" t="s">
        <v>570</v>
      </c>
      <c r="E18" s="297" t="s">
        <v>580</v>
      </c>
      <c r="F18" s="3">
        <v>6953</v>
      </c>
      <c r="G18" s="29" t="s">
        <v>530</v>
      </c>
      <c r="H18" s="4">
        <v>500</v>
      </c>
      <c r="I18" s="4">
        <v>6500</v>
      </c>
      <c r="J18" s="4">
        <v>3000</v>
      </c>
      <c r="K18" s="4"/>
      <c r="L18" s="4">
        <f>SUM(H18:K18)</f>
        <v>10000</v>
      </c>
      <c r="M18" s="340">
        <v>17500</v>
      </c>
      <c r="N18" s="4"/>
      <c r="O18" s="71" t="s">
        <v>572</v>
      </c>
      <c r="P18" s="3"/>
    </row>
    <row r="19" spans="1:16" x14ac:dyDescent="0.3">
      <c r="A19" s="241"/>
      <c r="B19" s="284"/>
      <c r="C19" s="287"/>
      <c r="D19" s="287"/>
      <c r="E19" s="287"/>
      <c r="F19" s="16"/>
      <c r="G19" s="4"/>
      <c r="H19" s="4"/>
      <c r="I19" s="4"/>
      <c r="J19" s="4"/>
      <c r="K19" s="4"/>
      <c r="L19" s="4">
        <f>SUM(H19:K19)</f>
        <v>0</v>
      </c>
      <c r="M19" s="340"/>
      <c r="N19" s="4"/>
      <c r="O19" s="176"/>
      <c r="P19" s="4"/>
    </row>
    <row r="20" spans="1:16" x14ac:dyDescent="0.3">
      <c r="A20" s="241"/>
      <c r="B20" s="284"/>
      <c r="C20" s="287"/>
      <c r="D20" s="287"/>
      <c r="E20" s="287"/>
      <c r="F20" s="4"/>
      <c r="G20" s="4"/>
      <c r="H20" s="4"/>
      <c r="I20" s="4"/>
      <c r="J20" s="4"/>
      <c r="K20" s="4"/>
      <c r="L20" s="4">
        <f>SUM(H20:K20)</f>
        <v>0</v>
      </c>
      <c r="M20" s="340"/>
      <c r="N20" s="4"/>
      <c r="O20" s="78"/>
      <c r="P20" s="4"/>
    </row>
    <row r="21" spans="1:16" x14ac:dyDescent="0.3">
      <c r="A21" s="241"/>
      <c r="B21" s="284"/>
      <c r="C21" s="287"/>
      <c r="D21" s="287"/>
      <c r="E21" s="287"/>
      <c r="F21" s="4"/>
      <c r="G21" s="4"/>
      <c r="H21" s="4"/>
      <c r="I21" s="4"/>
      <c r="J21" s="4"/>
      <c r="K21" s="4"/>
      <c r="L21" s="4">
        <f>SUM(H21:K21)</f>
        <v>0</v>
      </c>
      <c r="M21" s="340"/>
      <c r="N21" s="4"/>
      <c r="O21" s="71"/>
      <c r="P21" s="4"/>
    </row>
    <row r="22" spans="1:16" ht="15" thickBot="1" x14ac:dyDescent="0.35">
      <c r="A22" s="241"/>
      <c r="B22" s="284"/>
      <c r="C22" s="287"/>
      <c r="D22" s="287"/>
      <c r="E22" s="287"/>
      <c r="F22" s="6"/>
      <c r="G22" s="6"/>
      <c r="H22" s="4"/>
      <c r="I22" s="4"/>
      <c r="J22" s="4"/>
      <c r="K22" s="4"/>
      <c r="L22" s="4">
        <f>SUM(H22:K22)</f>
        <v>0</v>
      </c>
      <c r="M22" s="340"/>
      <c r="N22" s="4"/>
      <c r="O22" s="87"/>
      <c r="P22" s="6"/>
    </row>
    <row r="23" spans="1:16" ht="15.6" thickTop="1" thickBot="1" x14ac:dyDescent="0.35">
      <c r="A23" s="242"/>
      <c r="B23" s="285"/>
      <c r="C23" s="288"/>
      <c r="D23" s="288"/>
      <c r="E23" s="288"/>
      <c r="F23" s="243"/>
      <c r="G23" s="244"/>
      <c r="H23" s="56">
        <f>SUM(H18:H22)</f>
        <v>500</v>
      </c>
      <c r="I23" s="56">
        <f t="shared" ref="I23:L23" si="2">SUM(I18:I22)</f>
        <v>6500</v>
      </c>
      <c r="J23" s="56">
        <f t="shared" si="2"/>
        <v>3000</v>
      </c>
      <c r="K23" s="56">
        <f t="shared" si="2"/>
        <v>0</v>
      </c>
      <c r="L23" s="56">
        <f t="shared" si="2"/>
        <v>10000</v>
      </c>
      <c r="M23" s="56"/>
      <c r="N23" s="56">
        <f>M18-L23</f>
        <v>7500</v>
      </c>
      <c r="O23" s="99"/>
      <c r="P23" s="8"/>
    </row>
    <row r="24" spans="1:16" ht="15" thickTop="1" x14ac:dyDescent="0.3">
      <c r="A24" s="282">
        <v>4</v>
      </c>
      <c r="B24" s="253" t="s">
        <v>581</v>
      </c>
      <c r="C24" s="256" t="s">
        <v>582</v>
      </c>
      <c r="D24" s="287" t="s">
        <v>570</v>
      </c>
      <c r="E24" s="259" t="s">
        <v>574</v>
      </c>
      <c r="F24" s="16">
        <v>6952</v>
      </c>
      <c r="G24" s="18" t="s">
        <v>530</v>
      </c>
      <c r="H24" s="4">
        <v>500</v>
      </c>
      <c r="I24" s="4">
        <v>6500</v>
      </c>
      <c r="J24" s="4">
        <v>3000</v>
      </c>
      <c r="K24" s="4"/>
      <c r="L24" s="4">
        <f>SUM(H24:K24)</f>
        <v>10000</v>
      </c>
      <c r="M24" s="340">
        <v>17500</v>
      </c>
      <c r="N24" s="4"/>
      <c r="O24" s="71" t="s">
        <v>572</v>
      </c>
      <c r="P24" s="15"/>
    </row>
    <row r="25" spans="1:16" x14ac:dyDescent="0.3">
      <c r="A25" s="246"/>
      <c r="B25" s="254"/>
      <c r="C25" s="257"/>
      <c r="D25" s="287"/>
      <c r="E25" s="257"/>
      <c r="F25" s="16"/>
      <c r="G25" s="27"/>
      <c r="H25" s="4"/>
      <c r="I25" s="4"/>
      <c r="J25" s="4"/>
      <c r="K25" s="4"/>
      <c r="L25" s="4">
        <f>SUM(H25:K25)</f>
        <v>0</v>
      </c>
      <c r="M25" s="340"/>
      <c r="N25" s="4"/>
      <c r="O25" s="176"/>
      <c r="P25" s="16"/>
    </row>
    <row r="26" spans="1:16" x14ac:dyDescent="0.3">
      <c r="A26" s="246"/>
      <c r="B26" s="254"/>
      <c r="C26" s="257"/>
      <c r="D26" s="287"/>
      <c r="E26" s="257"/>
      <c r="F26" s="16"/>
      <c r="G26" s="16"/>
      <c r="H26" s="4"/>
      <c r="I26" s="4"/>
      <c r="J26" s="4"/>
      <c r="K26" s="4"/>
      <c r="L26" s="4">
        <f>SUM(H26:K26)</f>
        <v>0</v>
      </c>
      <c r="M26" s="340"/>
      <c r="N26" s="4"/>
      <c r="O26" s="78"/>
      <c r="P26" s="16"/>
    </row>
    <row r="27" spans="1:16" x14ac:dyDescent="0.3">
      <c r="A27" s="246"/>
      <c r="B27" s="254"/>
      <c r="C27" s="257"/>
      <c r="D27" s="287"/>
      <c r="E27" s="257"/>
      <c r="F27" s="16"/>
      <c r="G27" s="16"/>
      <c r="H27" s="4"/>
      <c r="I27" s="4"/>
      <c r="J27" s="4"/>
      <c r="K27" s="4"/>
      <c r="L27" s="4">
        <f>SUM(H27:K27)</f>
        <v>0</v>
      </c>
      <c r="M27" s="340"/>
      <c r="N27" s="4"/>
      <c r="O27" s="72"/>
      <c r="P27" s="16"/>
    </row>
    <row r="28" spans="1:16" ht="15" thickBot="1" x14ac:dyDescent="0.35">
      <c r="A28" s="246"/>
      <c r="B28" s="254"/>
      <c r="C28" s="257"/>
      <c r="D28" s="287"/>
      <c r="E28" s="257"/>
      <c r="F28" s="17"/>
      <c r="G28" s="17"/>
      <c r="H28" s="4"/>
      <c r="I28" s="4"/>
      <c r="J28" s="4"/>
      <c r="K28" s="4"/>
      <c r="L28" s="4">
        <f>SUM(H28:K28)</f>
        <v>0</v>
      </c>
      <c r="M28" s="340"/>
      <c r="N28" s="4"/>
      <c r="O28" s="90"/>
      <c r="P28" s="17"/>
    </row>
    <row r="29" spans="1:16" ht="15.6" thickTop="1" thickBot="1" x14ac:dyDescent="0.35">
      <c r="A29" s="247"/>
      <c r="B29" s="255"/>
      <c r="C29" s="258"/>
      <c r="D29" s="288"/>
      <c r="E29" s="258"/>
      <c r="F29" s="243"/>
      <c r="G29" s="244"/>
      <c r="H29" s="56">
        <f>SUM(H24:H28)</f>
        <v>500</v>
      </c>
      <c r="I29" s="56">
        <f t="shared" ref="I29:L29" si="3">SUM(I24:I28)</f>
        <v>6500</v>
      </c>
      <c r="J29" s="56">
        <f t="shared" si="3"/>
        <v>3000</v>
      </c>
      <c r="K29" s="56">
        <f t="shared" si="3"/>
        <v>0</v>
      </c>
      <c r="L29" s="56">
        <f t="shared" si="3"/>
        <v>10000</v>
      </c>
      <c r="M29" s="56"/>
      <c r="N29" s="56">
        <f>M24-L29</f>
        <v>7500</v>
      </c>
      <c r="O29" s="99"/>
      <c r="P29" s="8"/>
    </row>
    <row r="30" spans="1:16" ht="15" thickTop="1" x14ac:dyDescent="0.3">
      <c r="A30" s="248">
        <f t="shared" ref="A30" si="4">A24+1</f>
        <v>5</v>
      </c>
      <c r="B30" s="253" t="s">
        <v>613</v>
      </c>
      <c r="C30" s="256" t="s">
        <v>614</v>
      </c>
      <c r="D30" s="287" t="s">
        <v>570</v>
      </c>
      <c r="E30" s="259" t="s">
        <v>615</v>
      </c>
      <c r="F30" s="4">
        <v>6966</v>
      </c>
      <c r="G30" s="5" t="s">
        <v>616</v>
      </c>
      <c r="H30" s="3">
        <v>500</v>
      </c>
      <c r="I30" s="3">
        <v>6500</v>
      </c>
      <c r="J30" s="3">
        <v>3000</v>
      </c>
      <c r="K30" s="3"/>
      <c r="L30" s="4">
        <f>SUM(H30:K30)</f>
        <v>10000</v>
      </c>
      <c r="M30" s="240">
        <v>17500</v>
      </c>
      <c r="N30" s="4"/>
      <c r="O30" s="86" t="s">
        <v>572</v>
      </c>
      <c r="P30" s="3"/>
    </row>
    <row r="31" spans="1:16" x14ac:dyDescent="0.3">
      <c r="A31" s="241"/>
      <c r="B31" s="254"/>
      <c r="C31" s="257"/>
      <c r="D31" s="287"/>
      <c r="E31" s="257"/>
      <c r="F31" s="4"/>
      <c r="G31" s="4"/>
      <c r="H31" s="4"/>
      <c r="I31" s="4"/>
      <c r="J31" s="4"/>
      <c r="K31" s="4"/>
      <c r="L31" s="4">
        <f>SUM(H31:K31)</f>
        <v>0</v>
      </c>
      <c r="M31" s="241"/>
      <c r="N31" s="4"/>
      <c r="O31" s="71" t="s">
        <v>240</v>
      </c>
      <c r="P31" s="4"/>
    </row>
    <row r="32" spans="1:16" x14ac:dyDescent="0.3">
      <c r="A32" s="241"/>
      <c r="B32" s="254"/>
      <c r="C32" s="257"/>
      <c r="D32" s="287"/>
      <c r="E32" s="257"/>
      <c r="F32" s="4"/>
      <c r="G32" s="4"/>
      <c r="H32" s="4"/>
      <c r="I32" s="4"/>
      <c r="J32" s="4"/>
      <c r="K32" s="4"/>
      <c r="L32" s="4">
        <f>SUM(H32:K32)</f>
        <v>0</v>
      </c>
      <c r="M32" s="241"/>
      <c r="N32" s="4"/>
      <c r="O32" s="78"/>
      <c r="P32" s="4"/>
    </row>
    <row r="33" spans="1:16" x14ac:dyDescent="0.3">
      <c r="A33" s="241"/>
      <c r="B33" s="254"/>
      <c r="C33" s="257"/>
      <c r="D33" s="287"/>
      <c r="E33" s="257"/>
      <c r="F33" s="4"/>
      <c r="G33" s="4"/>
      <c r="H33" s="4"/>
      <c r="I33" s="4"/>
      <c r="J33" s="4"/>
      <c r="K33" s="4"/>
      <c r="L33" s="4">
        <f>SUM(H33:K33)</f>
        <v>0</v>
      </c>
      <c r="M33" s="241"/>
      <c r="N33" s="4"/>
      <c r="O33" s="71"/>
      <c r="P33" s="4"/>
    </row>
    <row r="34" spans="1:16" ht="15" thickBot="1" x14ac:dyDescent="0.35">
      <c r="A34" s="241"/>
      <c r="B34" s="254"/>
      <c r="C34" s="257"/>
      <c r="D34" s="287"/>
      <c r="E34" s="257"/>
      <c r="F34" s="6"/>
      <c r="G34" s="6"/>
      <c r="H34" s="6"/>
      <c r="I34" s="6"/>
      <c r="J34" s="6"/>
      <c r="K34" s="6"/>
      <c r="L34" s="6">
        <f>SUM(H34:K34)</f>
        <v>0</v>
      </c>
      <c r="M34" s="242"/>
      <c r="N34" s="6"/>
      <c r="O34" s="87"/>
      <c r="P34" s="6"/>
    </row>
    <row r="35" spans="1:16" ht="15.6" thickTop="1" thickBot="1" x14ac:dyDescent="0.35">
      <c r="A35" s="242"/>
      <c r="B35" s="255"/>
      <c r="C35" s="258"/>
      <c r="D35" s="288"/>
      <c r="E35" s="258"/>
      <c r="F35" s="243" t="s">
        <v>17</v>
      </c>
      <c r="G35" s="244"/>
      <c r="H35" s="8">
        <f>SUM(H30:H34)</f>
        <v>500</v>
      </c>
      <c r="I35" s="8">
        <f t="shared" ref="I35:L35" si="5">SUM(I30:I34)</f>
        <v>6500</v>
      </c>
      <c r="J35" s="8">
        <f t="shared" si="5"/>
        <v>3000</v>
      </c>
      <c r="K35" s="8">
        <f t="shared" si="5"/>
        <v>0</v>
      </c>
      <c r="L35" s="8">
        <f t="shared" si="5"/>
        <v>10000</v>
      </c>
      <c r="M35" s="8"/>
      <c r="N35" s="8">
        <f>M30-L35</f>
        <v>7500</v>
      </c>
      <c r="O35" s="99" t="s">
        <v>48</v>
      </c>
      <c r="P35" s="8">
        <f t="shared" ref="P35" si="6">SUM(P30:P34)</f>
        <v>0</v>
      </c>
    </row>
    <row r="36" spans="1:16" ht="15.75" customHeight="1" thickTop="1" x14ac:dyDescent="0.3">
      <c r="A36" s="260">
        <f t="shared" ref="A36" si="7">A30+1</f>
        <v>6</v>
      </c>
      <c r="B36" s="261" t="s">
        <v>760</v>
      </c>
      <c r="C36" s="264" t="s">
        <v>191</v>
      </c>
      <c r="D36" s="265" t="s">
        <v>570</v>
      </c>
      <c r="E36" s="269" t="s">
        <v>761</v>
      </c>
      <c r="F36" s="36">
        <v>6981</v>
      </c>
      <c r="G36" s="48" t="s">
        <v>757</v>
      </c>
      <c r="H36" s="39">
        <v>500</v>
      </c>
      <c r="I36" s="39">
        <v>14000</v>
      </c>
      <c r="J36" s="39">
        <v>3000</v>
      </c>
      <c r="K36" s="39"/>
      <c r="L36" s="36">
        <f>SUM(H36:K36)</f>
        <v>17500</v>
      </c>
      <c r="M36" s="271">
        <v>17500</v>
      </c>
      <c r="N36" s="36"/>
      <c r="O36" s="94" t="s">
        <v>572</v>
      </c>
      <c r="P36" s="39"/>
    </row>
    <row r="37" spans="1:16" x14ac:dyDescent="0.3">
      <c r="A37" s="249"/>
      <c r="B37" s="262"/>
      <c r="C37" s="265"/>
      <c r="D37" s="265"/>
      <c r="E37" s="265"/>
      <c r="F37" s="36"/>
      <c r="G37" s="36"/>
      <c r="H37" s="36"/>
      <c r="I37" s="36"/>
      <c r="J37" s="36"/>
      <c r="K37" s="36"/>
      <c r="L37" s="36">
        <f>SUM(H37:K37)</f>
        <v>0</v>
      </c>
      <c r="M37" s="249"/>
      <c r="N37" s="36"/>
      <c r="O37" s="73"/>
      <c r="P37" s="36"/>
    </row>
    <row r="38" spans="1:16" x14ac:dyDescent="0.3">
      <c r="A38" s="249"/>
      <c r="B38" s="262"/>
      <c r="C38" s="265"/>
      <c r="D38" s="265"/>
      <c r="E38" s="265"/>
      <c r="F38" s="36"/>
      <c r="G38" s="36"/>
      <c r="H38" s="36"/>
      <c r="I38" s="36"/>
      <c r="J38" s="36"/>
      <c r="K38" s="36"/>
      <c r="L38" s="36">
        <f>SUM(H38:K38)</f>
        <v>0</v>
      </c>
      <c r="M38" s="249"/>
      <c r="N38" s="36"/>
      <c r="O38" s="81"/>
      <c r="P38" s="36"/>
    </row>
    <row r="39" spans="1:16" x14ac:dyDescent="0.3">
      <c r="A39" s="249"/>
      <c r="B39" s="262"/>
      <c r="C39" s="265"/>
      <c r="D39" s="265"/>
      <c r="E39" s="265"/>
      <c r="F39" s="36"/>
      <c r="G39" s="36"/>
      <c r="H39" s="36"/>
      <c r="I39" s="36"/>
      <c r="J39" s="36"/>
      <c r="K39" s="36"/>
      <c r="L39" s="36">
        <f>SUM(H39:K39)</f>
        <v>0</v>
      </c>
      <c r="M39" s="249"/>
      <c r="N39" s="36"/>
      <c r="O39" s="73"/>
      <c r="P39" s="36"/>
    </row>
    <row r="40" spans="1:16" ht="15" thickBot="1" x14ac:dyDescent="0.35">
      <c r="A40" s="249"/>
      <c r="B40" s="262"/>
      <c r="C40" s="265"/>
      <c r="D40" s="265"/>
      <c r="E40" s="265"/>
      <c r="F40" s="41"/>
      <c r="G40" s="41"/>
      <c r="H40" s="41"/>
      <c r="I40" s="41"/>
      <c r="J40" s="41"/>
      <c r="K40" s="41"/>
      <c r="L40" s="41">
        <f>SUM(H40:K40)</f>
        <v>0</v>
      </c>
      <c r="M40" s="250"/>
      <c r="N40" s="41"/>
      <c r="O40" s="93"/>
      <c r="P40" s="41"/>
    </row>
    <row r="41" spans="1:16" ht="15.6" thickTop="1" thickBot="1" x14ac:dyDescent="0.35">
      <c r="A41" s="250"/>
      <c r="B41" s="263"/>
      <c r="C41" s="266"/>
      <c r="D41" s="266"/>
      <c r="E41" s="266"/>
      <c r="F41" s="251" t="s">
        <v>17</v>
      </c>
      <c r="G41" s="252"/>
      <c r="H41" s="14">
        <f>SUM(H36:H40)</f>
        <v>500</v>
      </c>
      <c r="I41" s="14">
        <f t="shared" ref="I41:L41" si="8">SUM(I36:I40)</f>
        <v>14000</v>
      </c>
      <c r="J41" s="14">
        <f t="shared" si="8"/>
        <v>3000</v>
      </c>
      <c r="K41" s="14">
        <f t="shared" si="8"/>
        <v>0</v>
      </c>
      <c r="L41" s="14">
        <f t="shared" si="8"/>
        <v>17500</v>
      </c>
      <c r="M41" s="14"/>
      <c r="N41" s="14">
        <f>M36-L41</f>
        <v>0</v>
      </c>
      <c r="O41" s="113" t="s">
        <v>48</v>
      </c>
      <c r="P41" s="14">
        <f t="shared" ref="P41" si="9">SUM(P36:P40)</f>
        <v>0</v>
      </c>
    </row>
    <row r="42" spans="1:16" ht="15.75" customHeight="1" thickTop="1" x14ac:dyDescent="0.3">
      <c r="A42" s="260">
        <f t="shared" ref="A42" si="10">A36+1</f>
        <v>7</v>
      </c>
      <c r="B42" s="279" t="s">
        <v>762</v>
      </c>
      <c r="C42" s="280" t="s">
        <v>614</v>
      </c>
      <c r="D42" s="265" t="s">
        <v>570</v>
      </c>
      <c r="E42" s="281" t="s">
        <v>763</v>
      </c>
      <c r="F42" s="36">
        <v>6984</v>
      </c>
      <c r="G42" s="48" t="s">
        <v>757</v>
      </c>
      <c r="H42" s="39">
        <v>500</v>
      </c>
      <c r="I42" s="39">
        <v>14000</v>
      </c>
      <c r="J42" s="39">
        <v>3000</v>
      </c>
      <c r="K42" s="39"/>
      <c r="L42" s="36">
        <f>SUM(H42:K42)</f>
        <v>17500</v>
      </c>
      <c r="M42" s="271">
        <v>17500</v>
      </c>
      <c r="N42" s="36"/>
      <c r="O42" s="94" t="s">
        <v>572</v>
      </c>
      <c r="P42" s="39"/>
    </row>
    <row r="43" spans="1:16" x14ac:dyDescent="0.3">
      <c r="A43" s="249"/>
      <c r="B43" s="277"/>
      <c r="C43" s="267"/>
      <c r="D43" s="265"/>
      <c r="E43" s="267"/>
      <c r="F43" s="36"/>
      <c r="G43" s="36"/>
      <c r="H43" s="36"/>
      <c r="I43" s="36"/>
      <c r="J43" s="36"/>
      <c r="K43" s="36"/>
      <c r="L43" s="36">
        <f>SUM(H43:K43)</f>
        <v>0</v>
      </c>
      <c r="M43" s="249"/>
      <c r="N43" s="36"/>
      <c r="O43" s="73"/>
      <c r="P43" s="36"/>
    </row>
    <row r="44" spans="1:16" x14ac:dyDescent="0.3">
      <c r="A44" s="249"/>
      <c r="B44" s="277"/>
      <c r="C44" s="267"/>
      <c r="D44" s="265"/>
      <c r="E44" s="267"/>
      <c r="F44" s="36"/>
      <c r="G44" s="36"/>
      <c r="H44" s="36"/>
      <c r="I44" s="36"/>
      <c r="J44" s="36"/>
      <c r="K44" s="36"/>
      <c r="L44" s="36">
        <f>SUM(H44:K44)</f>
        <v>0</v>
      </c>
      <c r="M44" s="249"/>
      <c r="N44" s="36"/>
      <c r="O44" s="81"/>
      <c r="P44" s="36"/>
    </row>
    <row r="45" spans="1:16" x14ac:dyDescent="0.3">
      <c r="A45" s="249"/>
      <c r="B45" s="277"/>
      <c r="C45" s="267"/>
      <c r="D45" s="265"/>
      <c r="E45" s="267"/>
      <c r="F45" s="36"/>
      <c r="G45" s="36"/>
      <c r="H45" s="36"/>
      <c r="I45" s="36"/>
      <c r="J45" s="36"/>
      <c r="K45" s="36"/>
      <c r="L45" s="36">
        <f>SUM(H45:K45)</f>
        <v>0</v>
      </c>
      <c r="M45" s="249"/>
      <c r="N45" s="36"/>
      <c r="O45" s="73"/>
      <c r="P45" s="36"/>
    </row>
    <row r="46" spans="1:16" ht="15" thickBot="1" x14ac:dyDescent="0.35">
      <c r="A46" s="249"/>
      <c r="B46" s="277"/>
      <c r="C46" s="267"/>
      <c r="D46" s="265"/>
      <c r="E46" s="267"/>
      <c r="F46" s="41"/>
      <c r="G46" s="41"/>
      <c r="H46" s="41"/>
      <c r="I46" s="41"/>
      <c r="J46" s="41"/>
      <c r="K46" s="41"/>
      <c r="L46" s="41">
        <f>SUM(H46:K46)</f>
        <v>0</v>
      </c>
      <c r="M46" s="250"/>
      <c r="N46" s="41"/>
      <c r="O46" s="93"/>
      <c r="P46" s="41"/>
    </row>
    <row r="47" spans="1:16" ht="15.6" thickTop="1" thickBot="1" x14ac:dyDescent="0.35">
      <c r="A47" s="250"/>
      <c r="B47" s="278"/>
      <c r="C47" s="268"/>
      <c r="D47" s="266"/>
      <c r="E47" s="268"/>
      <c r="F47" s="251" t="s">
        <v>17</v>
      </c>
      <c r="G47" s="252"/>
      <c r="H47" s="14">
        <f>SUM(H42:H46)</f>
        <v>500</v>
      </c>
      <c r="I47" s="14">
        <f t="shared" ref="I47:L47" si="11">SUM(I42:I46)</f>
        <v>14000</v>
      </c>
      <c r="J47" s="14">
        <f t="shared" si="11"/>
        <v>3000</v>
      </c>
      <c r="K47" s="14">
        <f t="shared" si="11"/>
        <v>0</v>
      </c>
      <c r="L47" s="14">
        <f t="shared" si="11"/>
        <v>17500</v>
      </c>
      <c r="M47" s="14"/>
      <c r="N47" s="14">
        <f>M42-L47</f>
        <v>0</v>
      </c>
      <c r="O47" s="113" t="s">
        <v>48</v>
      </c>
      <c r="P47" s="14">
        <f t="shared" ref="P47" si="12">SUM(P42:P46)</f>
        <v>0</v>
      </c>
    </row>
    <row r="48" spans="1:16" ht="15.75" customHeight="1" thickTop="1" x14ac:dyDescent="0.3">
      <c r="A48" s="248">
        <f t="shared" ref="A48" si="13">A42+1</f>
        <v>8</v>
      </c>
      <c r="B48" s="253" t="s">
        <v>764</v>
      </c>
      <c r="C48" s="256" t="s">
        <v>678</v>
      </c>
      <c r="D48" s="287" t="s">
        <v>570</v>
      </c>
      <c r="E48" s="371" t="s">
        <v>765</v>
      </c>
      <c r="F48" s="4">
        <v>6990</v>
      </c>
      <c r="G48" s="5" t="s">
        <v>766</v>
      </c>
      <c r="H48" s="3">
        <v>500</v>
      </c>
      <c r="I48" s="3">
        <v>4000</v>
      </c>
      <c r="J48" s="3">
        <v>3000</v>
      </c>
      <c r="K48" s="3"/>
      <c r="L48" s="4">
        <f>SUM(H48:K48)</f>
        <v>7500</v>
      </c>
      <c r="M48" s="240">
        <v>17500</v>
      </c>
      <c r="N48" s="4"/>
      <c r="O48" s="86" t="s">
        <v>572</v>
      </c>
      <c r="P48" s="3"/>
    </row>
    <row r="49" spans="1:16" x14ac:dyDescent="0.3">
      <c r="A49" s="241"/>
      <c r="B49" s="254"/>
      <c r="C49" s="257"/>
      <c r="D49" s="287"/>
      <c r="E49" s="257"/>
      <c r="F49" s="4"/>
      <c r="G49" s="4"/>
      <c r="H49" s="4"/>
      <c r="I49" s="4"/>
      <c r="J49" s="4"/>
      <c r="K49" s="4"/>
      <c r="L49" s="4">
        <f>SUM(H49:K49)</f>
        <v>0</v>
      </c>
      <c r="M49" s="241"/>
      <c r="N49" s="4"/>
      <c r="O49" s="71"/>
      <c r="P49" s="4"/>
    </row>
    <row r="50" spans="1:16" x14ac:dyDescent="0.3">
      <c r="A50" s="241"/>
      <c r="B50" s="254"/>
      <c r="C50" s="257"/>
      <c r="D50" s="287"/>
      <c r="E50" s="257"/>
      <c r="F50" s="4"/>
      <c r="G50" s="4"/>
      <c r="H50" s="4"/>
      <c r="I50" s="4"/>
      <c r="J50" s="4"/>
      <c r="K50" s="4"/>
      <c r="L50" s="4">
        <f>SUM(H50:K50)</f>
        <v>0</v>
      </c>
      <c r="M50" s="241"/>
      <c r="N50" s="4"/>
      <c r="O50" s="78"/>
      <c r="P50" s="4"/>
    </row>
    <row r="51" spans="1:16" x14ac:dyDescent="0.3">
      <c r="A51" s="241"/>
      <c r="B51" s="254"/>
      <c r="C51" s="257"/>
      <c r="D51" s="287"/>
      <c r="E51" s="257"/>
      <c r="F51" s="4"/>
      <c r="G51" s="4"/>
      <c r="H51" s="4"/>
      <c r="I51" s="4"/>
      <c r="J51" s="4"/>
      <c r="K51" s="4"/>
      <c r="L51" s="4">
        <f>SUM(H51:K51)</f>
        <v>0</v>
      </c>
      <c r="M51" s="241"/>
      <c r="N51" s="4"/>
      <c r="O51" s="71"/>
      <c r="P51" s="4"/>
    </row>
    <row r="52" spans="1:16" ht="15" thickBot="1" x14ac:dyDescent="0.35">
      <c r="A52" s="241"/>
      <c r="B52" s="254"/>
      <c r="C52" s="257"/>
      <c r="D52" s="287"/>
      <c r="E52" s="257"/>
      <c r="F52" s="6"/>
      <c r="G52" s="6"/>
      <c r="H52" s="6"/>
      <c r="I52" s="6"/>
      <c r="J52" s="6"/>
      <c r="K52" s="6"/>
      <c r="L52" s="6">
        <f>SUM(H52:K52)</f>
        <v>0</v>
      </c>
      <c r="M52" s="242"/>
      <c r="N52" s="6"/>
      <c r="O52" s="87"/>
      <c r="P52" s="6"/>
    </row>
    <row r="53" spans="1:16" ht="15.6" thickTop="1" thickBot="1" x14ac:dyDescent="0.35">
      <c r="A53" s="242"/>
      <c r="B53" s="255"/>
      <c r="C53" s="258"/>
      <c r="D53" s="288"/>
      <c r="E53" s="258"/>
      <c r="F53" s="243" t="s">
        <v>17</v>
      </c>
      <c r="G53" s="244"/>
      <c r="H53" s="8">
        <f>SUM(H48:H52)</f>
        <v>500</v>
      </c>
      <c r="I53" s="8">
        <f t="shared" ref="I53:L53" si="14">SUM(I48:I52)</f>
        <v>4000</v>
      </c>
      <c r="J53" s="8">
        <f t="shared" si="14"/>
        <v>3000</v>
      </c>
      <c r="K53" s="8">
        <f t="shared" si="14"/>
        <v>0</v>
      </c>
      <c r="L53" s="8">
        <f t="shared" si="14"/>
        <v>7500</v>
      </c>
      <c r="M53" s="8"/>
      <c r="N53" s="8">
        <f>M48-L53</f>
        <v>10000</v>
      </c>
      <c r="O53" s="99" t="s">
        <v>48</v>
      </c>
      <c r="P53" s="8">
        <f t="shared" ref="P53" si="15">SUM(P48:P52)</f>
        <v>0</v>
      </c>
    </row>
    <row r="54" spans="1:16" ht="15.75" customHeight="1" thickTop="1" x14ac:dyDescent="0.3">
      <c r="A54" s="248">
        <f t="shared" ref="A54" si="16">A48+1</f>
        <v>9</v>
      </c>
      <c r="B54" s="253" t="s">
        <v>767</v>
      </c>
      <c r="C54" s="256" t="s">
        <v>678</v>
      </c>
      <c r="D54" s="287" t="s">
        <v>570</v>
      </c>
      <c r="E54" s="371" t="s">
        <v>768</v>
      </c>
      <c r="F54" s="4">
        <v>6991</v>
      </c>
      <c r="G54" s="5" t="s">
        <v>766</v>
      </c>
      <c r="H54" s="3">
        <v>500</v>
      </c>
      <c r="I54" s="3">
        <v>4000</v>
      </c>
      <c r="J54" s="3">
        <v>3000</v>
      </c>
      <c r="K54" s="3"/>
      <c r="L54" s="4">
        <f>SUM(H54:K54)</f>
        <v>7500</v>
      </c>
      <c r="M54" s="240">
        <v>17500</v>
      </c>
      <c r="N54" s="4"/>
      <c r="O54" s="86" t="s">
        <v>572</v>
      </c>
      <c r="P54" s="3"/>
    </row>
    <row r="55" spans="1:16" x14ac:dyDescent="0.3">
      <c r="A55" s="241"/>
      <c r="B55" s="254"/>
      <c r="C55" s="257"/>
      <c r="D55" s="287"/>
      <c r="E55" s="257"/>
      <c r="F55" s="4"/>
      <c r="G55" s="4"/>
      <c r="H55" s="4"/>
      <c r="I55" s="4"/>
      <c r="J55" s="4"/>
      <c r="K55" s="4"/>
      <c r="L55" s="4">
        <f>SUM(H55:K55)</f>
        <v>0</v>
      </c>
      <c r="M55" s="241"/>
      <c r="N55" s="4"/>
      <c r="O55" s="71"/>
      <c r="P55" s="4"/>
    </row>
    <row r="56" spans="1:16" x14ac:dyDescent="0.3">
      <c r="A56" s="241"/>
      <c r="B56" s="254"/>
      <c r="C56" s="257"/>
      <c r="D56" s="287"/>
      <c r="E56" s="257"/>
      <c r="F56" s="4"/>
      <c r="G56" s="4"/>
      <c r="H56" s="4"/>
      <c r="I56" s="4"/>
      <c r="J56" s="4"/>
      <c r="K56" s="4"/>
      <c r="L56" s="4">
        <f>SUM(H56:K56)</f>
        <v>0</v>
      </c>
      <c r="M56" s="241"/>
      <c r="N56" s="4"/>
      <c r="O56" s="78"/>
      <c r="P56" s="4"/>
    </row>
    <row r="57" spans="1:16" x14ac:dyDescent="0.3">
      <c r="A57" s="241"/>
      <c r="B57" s="254"/>
      <c r="C57" s="257"/>
      <c r="D57" s="287"/>
      <c r="E57" s="257"/>
      <c r="F57" s="4"/>
      <c r="G57" s="4"/>
      <c r="H57" s="4"/>
      <c r="I57" s="4"/>
      <c r="J57" s="4"/>
      <c r="K57" s="4"/>
      <c r="L57" s="4">
        <f>SUM(H57:K57)</f>
        <v>0</v>
      </c>
      <c r="M57" s="241"/>
      <c r="N57" s="4"/>
      <c r="O57" s="71"/>
      <c r="P57" s="4"/>
    </row>
    <row r="58" spans="1:16" ht="15" thickBot="1" x14ac:dyDescent="0.35">
      <c r="A58" s="241"/>
      <c r="B58" s="254"/>
      <c r="C58" s="257"/>
      <c r="D58" s="287"/>
      <c r="E58" s="257"/>
      <c r="F58" s="6"/>
      <c r="G58" s="6"/>
      <c r="H58" s="6"/>
      <c r="I58" s="6"/>
      <c r="J58" s="6"/>
      <c r="K58" s="6"/>
      <c r="L58" s="6">
        <f>SUM(H58:K58)</f>
        <v>0</v>
      </c>
      <c r="M58" s="242"/>
      <c r="N58" s="6"/>
      <c r="O58" s="87"/>
      <c r="P58" s="6"/>
    </row>
    <row r="59" spans="1:16" ht="15.6" thickTop="1" thickBot="1" x14ac:dyDescent="0.35">
      <c r="A59" s="242"/>
      <c r="B59" s="255"/>
      <c r="C59" s="258"/>
      <c r="D59" s="288"/>
      <c r="E59" s="258"/>
      <c r="F59" s="243" t="s">
        <v>17</v>
      </c>
      <c r="G59" s="244"/>
      <c r="H59" s="8">
        <f>SUM(H54:H58)</f>
        <v>500</v>
      </c>
      <c r="I59" s="8">
        <f t="shared" ref="I59:L59" si="17">SUM(I54:I58)</f>
        <v>4000</v>
      </c>
      <c r="J59" s="8">
        <f t="shared" si="17"/>
        <v>3000</v>
      </c>
      <c r="K59" s="8">
        <f t="shared" si="17"/>
        <v>0</v>
      </c>
      <c r="L59" s="8">
        <f t="shared" si="17"/>
        <v>7500</v>
      </c>
      <c r="M59" s="8"/>
      <c r="N59" s="8">
        <f>M54-L59</f>
        <v>10000</v>
      </c>
      <c r="O59" s="99" t="s">
        <v>48</v>
      </c>
      <c r="P59" s="8">
        <f t="shared" ref="P59" si="18">SUM(P54:P58)</f>
        <v>0</v>
      </c>
    </row>
    <row r="60" spans="1:16" ht="15.75" customHeight="1" thickTop="1" x14ac:dyDescent="0.3">
      <c r="A60" s="260">
        <f t="shared" ref="A60" si="19">A54+1</f>
        <v>10</v>
      </c>
      <c r="B60" s="279" t="s">
        <v>769</v>
      </c>
      <c r="C60" s="280" t="s">
        <v>297</v>
      </c>
      <c r="D60" s="267" t="s">
        <v>570</v>
      </c>
      <c r="E60" s="375" t="s">
        <v>747</v>
      </c>
      <c r="F60" s="36">
        <v>6993</v>
      </c>
      <c r="G60" s="48" t="s">
        <v>770</v>
      </c>
      <c r="H60" s="39">
        <v>500</v>
      </c>
      <c r="I60" s="39">
        <v>14000</v>
      </c>
      <c r="J60" s="39">
        <v>3000</v>
      </c>
      <c r="K60" s="39"/>
      <c r="L60" s="36">
        <f>SUM(H60:K60)</f>
        <v>17500</v>
      </c>
      <c r="M60" s="271">
        <v>17500</v>
      </c>
      <c r="N60" s="36"/>
      <c r="O60" s="94" t="s">
        <v>572</v>
      </c>
      <c r="P60" s="39"/>
    </row>
    <row r="61" spans="1:16" x14ac:dyDescent="0.3">
      <c r="A61" s="249"/>
      <c r="B61" s="277"/>
      <c r="C61" s="267"/>
      <c r="D61" s="267"/>
      <c r="E61" s="267"/>
      <c r="F61" s="36"/>
      <c r="G61" s="36"/>
      <c r="H61" s="36"/>
      <c r="I61" s="36"/>
      <c r="J61" s="36"/>
      <c r="K61" s="36"/>
      <c r="L61" s="36">
        <f>SUM(H61:K61)</f>
        <v>0</v>
      </c>
      <c r="M61" s="249"/>
      <c r="N61" s="36"/>
      <c r="O61" s="73"/>
      <c r="P61" s="36"/>
    </row>
    <row r="62" spans="1:16" x14ac:dyDescent="0.3">
      <c r="A62" s="249"/>
      <c r="B62" s="277"/>
      <c r="C62" s="267"/>
      <c r="D62" s="267"/>
      <c r="E62" s="267"/>
      <c r="F62" s="36"/>
      <c r="G62" s="36"/>
      <c r="H62" s="36"/>
      <c r="I62" s="36"/>
      <c r="J62" s="36"/>
      <c r="K62" s="36"/>
      <c r="L62" s="36">
        <f>SUM(H62:K62)</f>
        <v>0</v>
      </c>
      <c r="M62" s="249"/>
      <c r="N62" s="36"/>
      <c r="O62" s="81"/>
      <c r="P62" s="36"/>
    </row>
    <row r="63" spans="1:16" x14ac:dyDescent="0.3">
      <c r="A63" s="249"/>
      <c r="B63" s="277"/>
      <c r="C63" s="267"/>
      <c r="D63" s="267"/>
      <c r="E63" s="267"/>
      <c r="F63" s="36"/>
      <c r="G63" s="36"/>
      <c r="H63" s="36"/>
      <c r="I63" s="36"/>
      <c r="J63" s="36"/>
      <c r="K63" s="36"/>
      <c r="L63" s="36">
        <f>SUM(H63:K63)</f>
        <v>0</v>
      </c>
      <c r="M63" s="249"/>
      <c r="N63" s="36"/>
      <c r="O63" s="73"/>
      <c r="P63" s="36"/>
    </row>
    <row r="64" spans="1:16" ht="15" thickBot="1" x14ac:dyDescent="0.35">
      <c r="A64" s="249"/>
      <c r="B64" s="277"/>
      <c r="C64" s="267"/>
      <c r="D64" s="267"/>
      <c r="E64" s="267"/>
      <c r="F64" s="41"/>
      <c r="G64" s="41"/>
      <c r="H64" s="41"/>
      <c r="I64" s="41"/>
      <c r="J64" s="41"/>
      <c r="K64" s="41"/>
      <c r="L64" s="41">
        <f>SUM(H64:K64)</f>
        <v>0</v>
      </c>
      <c r="M64" s="250"/>
      <c r="N64" s="41"/>
      <c r="O64" s="93"/>
      <c r="P64" s="41"/>
    </row>
    <row r="65" spans="1:16" ht="15.6" thickTop="1" thickBot="1" x14ac:dyDescent="0.35">
      <c r="A65" s="250"/>
      <c r="B65" s="278"/>
      <c r="C65" s="268"/>
      <c r="D65" s="268"/>
      <c r="E65" s="268"/>
      <c r="F65" s="251" t="s">
        <v>17</v>
      </c>
      <c r="G65" s="252"/>
      <c r="H65" s="14">
        <f>SUM(H60:H64)</f>
        <v>500</v>
      </c>
      <c r="I65" s="14">
        <f t="shared" ref="I65:L65" si="20">SUM(I60:I64)</f>
        <v>14000</v>
      </c>
      <c r="J65" s="14">
        <f t="shared" si="20"/>
        <v>3000</v>
      </c>
      <c r="K65" s="14">
        <f t="shared" si="20"/>
        <v>0</v>
      </c>
      <c r="L65" s="14">
        <f t="shared" si="20"/>
        <v>17500</v>
      </c>
      <c r="M65" s="14"/>
      <c r="N65" s="14">
        <f>M60-L65</f>
        <v>0</v>
      </c>
      <c r="O65" s="113" t="s">
        <v>48</v>
      </c>
      <c r="P65" s="14">
        <f t="shared" ref="P65" si="21">SUM(P60:P64)</f>
        <v>0</v>
      </c>
    </row>
    <row r="66" spans="1:16" ht="15.75" customHeight="1" thickTop="1" x14ac:dyDescent="0.3">
      <c r="A66" s="248">
        <f t="shared" ref="A66" si="22">A60+1</f>
        <v>11</v>
      </c>
      <c r="B66" s="253" t="s">
        <v>792</v>
      </c>
      <c r="C66" s="256" t="s">
        <v>793</v>
      </c>
      <c r="D66" s="287" t="s">
        <v>570</v>
      </c>
      <c r="E66" s="371" t="s">
        <v>794</v>
      </c>
      <c r="F66" s="4">
        <v>6996</v>
      </c>
      <c r="G66" s="5" t="s">
        <v>795</v>
      </c>
      <c r="H66" s="3">
        <v>500</v>
      </c>
      <c r="I66" s="3">
        <v>6500</v>
      </c>
      <c r="J66" s="3">
        <v>3000</v>
      </c>
      <c r="K66" s="3"/>
      <c r="L66" s="4">
        <f>SUM(H66:K66)</f>
        <v>10000</v>
      </c>
      <c r="M66" s="240">
        <v>17500</v>
      </c>
      <c r="N66" s="4"/>
      <c r="O66" s="86" t="s">
        <v>572</v>
      </c>
      <c r="P66" s="3"/>
    </row>
    <row r="67" spans="1:16" x14ac:dyDescent="0.3">
      <c r="A67" s="241"/>
      <c r="B67" s="254"/>
      <c r="C67" s="257"/>
      <c r="D67" s="287"/>
      <c r="E67" s="257"/>
      <c r="F67" s="4"/>
      <c r="G67" s="4"/>
      <c r="H67" s="4"/>
      <c r="I67" s="4"/>
      <c r="J67" s="4"/>
      <c r="K67" s="4"/>
      <c r="L67" s="4">
        <f>SUM(H67:K67)</f>
        <v>0</v>
      </c>
      <c r="M67" s="241"/>
      <c r="N67" s="4"/>
      <c r="O67" s="71"/>
      <c r="P67" s="4"/>
    </row>
    <row r="68" spans="1:16" x14ac:dyDescent="0.3">
      <c r="A68" s="241"/>
      <c r="B68" s="254"/>
      <c r="C68" s="257"/>
      <c r="D68" s="287"/>
      <c r="E68" s="257"/>
      <c r="F68" s="4"/>
      <c r="G68" s="4"/>
      <c r="H68" s="4"/>
      <c r="I68" s="4"/>
      <c r="J68" s="4"/>
      <c r="K68" s="4"/>
      <c r="L68" s="4">
        <f>SUM(H68:K68)</f>
        <v>0</v>
      </c>
      <c r="M68" s="241"/>
      <c r="N68" s="4"/>
      <c r="O68" s="78"/>
      <c r="P68" s="4"/>
    </row>
    <row r="69" spans="1:16" x14ac:dyDescent="0.3">
      <c r="A69" s="241"/>
      <c r="B69" s="254"/>
      <c r="C69" s="257"/>
      <c r="D69" s="287"/>
      <c r="E69" s="257"/>
      <c r="F69" s="4"/>
      <c r="G69" s="4"/>
      <c r="H69" s="4"/>
      <c r="I69" s="4"/>
      <c r="J69" s="4"/>
      <c r="K69" s="4"/>
      <c r="L69" s="4">
        <f>SUM(H69:K69)</f>
        <v>0</v>
      </c>
      <c r="M69" s="241"/>
      <c r="N69" s="4"/>
      <c r="O69" s="71"/>
      <c r="P69" s="4"/>
    </row>
    <row r="70" spans="1:16" ht="15" thickBot="1" x14ac:dyDescent="0.35">
      <c r="A70" s="241"/>
      <c r="B70" s="254"/>
      <c r="C70" s="257"/>
      <c r="D70" s="287"/>
      <c r="E70" s="257"/>
      <c r="F70" s="6"/>
      <c r="G70" s="6"/>
      <c r="H70" s="6"/>
      <c r="I70" s="6"/>
      <c r="J70" s="6"/>
      <c r="K70" s="6"/>
      <c r="L70" s="6">
        <f>SUM(H70:K70)</f>
        <v>0</v>
      </c>
      <c r="M70" s="242"/>
      <c r="N70" s="6"/>
      <c r="O70" s="87"/>
      <c r="P70" s="6"/>
    </row>
    <row r="71" spans="1:16" ht="15.6" thickTop="1" thickBot="1" x14ac:dyDescent="0.35">
      <c r="A71" s="242"/>
      <c r="B71" s="255"/>
      <c r="C71" s="258"/>
      <c r="D71" s="288"/>
      <c r="E71" s="258"/>
      <c r="F71" s="243" t="s">
        <v>17</v>
      </c>
      <c r="G71" s="244"/>
      <c r="H71" s="8">
        <f>SUM(H66:H70)</f>
        <v>500</v>
      </c>
      <c r="I71" s="8">
        <f t="shared" ref="I71:L71" si="23">SUM(I66:I70)</f>
        <v>6500</v>
      </c>
      <c r="J71" s="8">
        <f t="shared" si="23"/>
        <v>3000</v>
      </c>
      <c r="K71" s="8">
        <f t="shared" si="23"/>
        <v>0</v>
      </c>
      <c r="L71" s="8">
        <f t="shared" si="23"/>
        <v>10000</v>
      </c>
      <c r="M71" s="8"/>
      <c r="N71" s="8">
        <f>M66-L71</f>
        <v>7500</v>
      </c>
      <c r="O71" s="99" t="s">
        <v>48</v>
      </c>
      <c r="P71" s="8">
        <f t="shared" ref="P71" si="24">SUM(P66:P70)</f>
        <v>0</v>
      </c>
    </row>
    <row r="72" spans="1:16" ht="15.75" customHeight="1" thickTop="1" x14ac:dyDescent="0.3">
      <c r="A72" s="248">
        <f t="shared" ref="A72" si="25">A66+1</f>
        <v>12</v>
      </c>
      <c r="B72" s="253" t="s">
        <v>844</v>
      </c>
      <c r="C72" s="256" t="s">
        <v>793</v>
      </c>
      <c r="D72" s="287" t="s">
        <v>570</v>
      </c>
      <c r="E72" s="371" t="s">
        <v>835</v>
      </c>
      <c r="F72" s="4">
        <v>7020</v>
      </c>
      <c r="G72" s="5" t="s">
        <v>843</v>
      </c>
      <c r="H72" s="3">
        <v>500</v>
      </c>
      <c r="I72" s="3">
        <v>6500</v>
      </c>
      <c r="J72" s="3">
        <v>3000</v>
      </c>
      <c r="K72" s="3"/>
      <c r="L72" s="4">
        <f>SUM(H72:K72)</f>
        <v>10000</v>
      </c>
      <c r="M72" s="240">
        <v>17500</v>
      </c>
      <c r="N72" s="4"/>
      <c r="O72" s="86" t="s">
        <v>572</v>
      </c>
      <c r="P72" s="3"/>
    </row>
    <row r="73" spans="1:16" x14ac:dyDescent="0.3">
      <c r="A73" s="241"/>
      <c r="B73" s="254"/>
      <c r="C73" s="257"/>
      <c r="D73" s="287"/>
      <c r="E73" s="257"/>
      <c r="F73" s="4"/>
      <c r="G73" s="4"/>
      <c r="H73" s="4"/>
      <c r="I73" s="4"/>
      <c r="J73" s="4"/>
      <c r="K73" s="4"/>
      <c r="L73" s="4">
        <f>SUM(H73:K73)</f>
        <v>0</v>
      </c>
      <c r="M73" s="241"/>
      <c r="N73" s="4"/>
      <c r="O73" s="71"/>
      <c r="P73" s="4"/>
    </row>
    <row r="74" spans="1:16" x14ac:dyDescent="0.3">
      <c r="A74" s="241"/>
      <c r="B74" s="254"/>
      <c r="C74" s="257"/>
      <c r="D74" s="287"/>
      <c r="E74" s="257"/>
      <c r="F74" s="4"/>
      <c r="G74" s="4"/>
      <c r="H74" s="4"/>
      <c r="I74" s="4"/>
      <c r="J74" s="4"/>
      <c r="K74" s="4"/>
      <c r="L74" s="4">
        <f>SUM(H74:K74)</f>
        <v>0</v>
      </c>
      <c r="M74" s="241"/>
      <c r="N74" s="4"/>
      <c r="O74" s="78"/>
      <c r="P74" s="4"/>
    </row>
    <row r="75" spans="1:16" x14ac:dyDescent="0.3">
      <c r="A75" s="241"/>
      <c r="B75" s="254"/>
      <c r="C75" s="257"/>
      <c r="D75" s="287"/>
      <c r="E75" s="257"/>
      <c r="F75" s="4"/>
      <c r="G75" s="4"/>
      <c r="H75" s="4"/>
      <c r="I75" s="4"/>
      <c r="J75" s="4"/>
      <c r="K75" s="4"/>
      <c r="L75" s="4">
        <f>SUM(H75:K75)</f>
        <v>0</v>
      </c>
      <c r="M75" s="241"/>
      <c r="N75" s="4"/>
      <c r="O75" s="71"/>
      <c r="P75" s="4"/>
    </row>
    <row r="76" spans="1:16" ht="15" thickBot="1" x14ac:dyDescent="0.35">
      <c r="A76" s="241"/>
      <c r="B76" s="254"/>
      <c r="C76" s="257"/>
      <c r="D76" s="287"/>
      <c r="E76" s="257"/>
      <c r="F76" s="6"/>
      <c r="G76" s="6"/>
      <c r="H76" s="6"/>
      <c r="I76" s="6"/>
      <c r="J76" s="6"/>
      <c r="K76" s="6"/>
      <c r="L76" s="6">
        <f>SUM(H76:K76)</f>
        <v>0</v>
      </c>
      <c r="M76" s="242"/>
      <c r="N76" s="6"/>
      <c r="O76" s="87"/>
      <c r="P76" s="6"/>
    </row>
    <row r="77" spans="1:16" ht="15.6" thickTop="1" thickBot="1" x14ac:dyDescent="0.35">
      <c r="A77" s="242"/>
      <c r="B77" s="255"/>
      <c r="C77" s="258"/>
      <c r="D77" s="288"/>
      <c r="E77" s="258"/>
      <c r="F77" s="243" t="s">
        <v>17</v>
      </c>
      <c r="G77" s="244"/>
      <c r="H77" s="8">
        <f>SUM(H72:H76)</f>
        <v>500</v>
      </c>
      <c r="I77" s="8">
        <f t="shared" ref="I77:L77" si="26">SUM(I72:I76)</f>
        <v>6500</v>
      </c>
      <c r="J77" s="8">
        <f t="shared" si="26"/>
        <v>3000</v>
      </c>
      <c r="K77" s="8">
        <f t="shared" si="26"/>
        <v>0</v>
      </c>
      <c r="L77" s="8">
        <f t="shared" si="26"/>
        <v>10000</v>
      </c>
      <c r="M77" s="8"/>
      <c r="N77" s="8">
        <f>M72-L77</f>
        <v>7500</v>
      </c>
      <c r="O77" s="99" t="s">
        <v>48</v>
      </c>
      <c r="P77" s="8">
        <f t="shared" ref="P77" si="27">SUM(P72:P76)</f>
        <v>0</v>
      </c>
    </row>
    <row r="78" spans="1:16" ht="15" thickTop="1" x14ac:dyDescent="0.3">
      <c r="A78" s="260">
        <f t="shared" ref="A78" si="28">A72+1</f>
        <v>13</v>
      </c>
      <c r="B78" s="279" t="s">
        <v>875</v>
      </c>
      <c r="C78" s="280" t="s">
        <v>876</v>
      </c>
      <c r="D78" s="265" t="s">
        <v>570</v>
      </c>
      <c r="E78" s="375" t="s">
        <v>877</v>
      </c>
      <c r="F78" s="36">
        <v>7056</v>
      </c>
      <c r="G78" s="48" t="s">
        <v>878</v>
      </c>
      <c r="H78" s="39">
        <v>500</v>
      </c>
      <c r="I78" s="39">
        <v>14000</v>
      </c>
      <c r="J78" s="39">
        <v>3000</v>
      </c>
      <c r="K78" s="39"/>
      <c r="L78" s="36">
        <f>SUM(H78:K78)</f>
        <v>17500</v>
      </c>
      <c r="M78" s="271">
        <v>17500</v>
      </c>
      <c r="N78" s="36"/>
      <c r="O78" s="94" t="s">
        <v>572</v>
      </c>
      <c r="P78" s="39"/>
    </row>
    <row r="79" spans="1:16" x14ac:dyDescent="0.3">
      <c r="A79" s="249"/>
      <c r="B79" s="277"/>
      <c r="C79" s="267"/>
      <c r="D79" s="265"/>
      <c r="E79" s="267"/>
      <c r="F79" s="36"/>
      <c r="G79" s="36"/>
      <c r="H79" s="36"/>
      <c r="I79" s="36"/>
      <c r="J79" s="36"/>
      <c r="K79" s="36"/>
      <c r="L79" s="36">
        <f>SUM(H79:K79)</f>
        <v>0</v>
      </c>
      <c r="M79" s="249"/>
      <c r="N79" s="36"/>
      <c r="O79" s="73"/>
      <c r="P79" s="36"/>
    </row>
    <row r="80" spans="1:16" x14ac:dyDescent="0.3">
      <c r="A80" s="249"/>
      <c r="B80" s="277"/>
      <c r="C80" s="267"/>
      <c r="D80" s="265"/>
      <c r="E80" s="267"/>
      <c r="F80" s="36"/>
      <c r="G80" s="36"/>
      <c r="H80" s="36"/>
      <c r="I80" s="36"/>
      <c r="J80" s="36"/>
      <c r="K80" s="36"/>
      <c r="L80" s="36">
        <f>SUM(H80:K80)</f>
        <v>0</v>
      </c>
      <c r="M80" s="249"/>
      <c r="N80" s="36"/>
      <c r="O80" s="81"/>
      <c r="P80" s="36"/>
    </row>
    <row r="81" spans="1:16" x14ac:dyDescent="0.3">
      <c r="A81" s="249"/>
      <c r="B81" s="277"/>
      <c r="C81" s="267"/>
      <c r="D81" s="265"/>
      <c r="E81" s="267"/>
      <c r="F81" s="36"/>
      <c r="G81" s="36"/>
      <c r="H81" s="36"/>
      <c r="I81" s="36"/>
      <c r="J81" s="36"/>
      <c r="K81" s="36"/>
      <c r="L81" s="36">
        <f>SUM(H81:K81)</f>
        <v>0</v>
      </c>
      <c r="M81" s="249"/>
      <c r="N81" s="36"/>
      <c r="O81" s="73"/>
      <c r="P81" s="36"/>
    </row>
    <row r="82" spans="1:16" ht="15" thickBot="1" x14ac:dyDescent="0.35">
      <c r="A82" s="249"/>
      <c r="B82" s="277"/>
      <c r="C82" s="267"/>
      <c r="D82" s="265"/>
      <c r="E82" s="267"/>
      <c r="F82" s="41"/>
      <c r="G82" s="41"/>
      <c r="H82" s="41"/>
      <c r="I82" s="41"/>
      <c r="J82" s="41"/>
      <c r="K82" s="41"/>
      <c r="L82" s="41">
        <f>SUM(H82:K82)</f>
        <v>0</v>
      </c>
      <c r="M82" s="250"/>
      <c r="N82" s="41"/>
      <c r="O82" s="93"/>
      <c r="P82" s="41"/>
    </row>
    <row r="83" spans="1:16" ht="15.6" thickTop="1" thickBot="1" x14ac:dyDescent="0.35">
      <c r="A83" s="250"/>
      <c r="B83" s="278"/>
      <c r="C83" s="268"/>
      <c r="D83" s="266"/>
      <c r="E83" s="268"/>
      <c r="F83" s="251" t="s">
        <v>17</v>
      </c>
      <c r="G83" s="252"/>
      <c r="H83" s="14">
        <f>SUM(H78:H82)</f>
        <v>500</v>
      </c>
      <c r="I83" s="14">
        <f t="shared" ref="I83:L83" si="29">SUM(I78:I82)</f>
        <v>14000</v>
      </c>
      <c r="J83" s="14">
        <f t="shared" si="29"/>
        <v>3000</v>
      </c>
      <c r="K83" s="14">
        <f t="shared" si="29"/>
        <v>0</v>
      </c>
      <c r="L83" s="14">
        <f t="shared" si="29"/>
        <v>17500</v>
      </c>
      <c r="M83" s="14"/>
      <c r="N83" s="14">
        <f>M78-L83</f>
        <v>0</v>
      </c>
      <c r="O83" s="113" t="s">
        <v>48</v>
      </c>
      <c r="P83" s="14">
        <f t="shared" ref="P83" si="30">SUM(P78:P82)</f>
        <v>0</v>
      </c>
    </row>
    <row r="84" spans="1:16" ht="15" thickTop="1" x14ac:dyDescent="0.3">
      <c r="A84" s="248">
        <f t="shared" ref="A84" si="31">A78+1</f>
        <v>14</v>
      </c>
      <c r="B84" s="253" t="s">
        <v>879</v>
      </c>
      <c r="C84" s="256" t="s">
        <v>614</v>
      </c>
      <c r="D84" s="287" t="s">
        <v>570</v>
      </c>
      <c r="E84" s="371" t="s">
        <v>880</v>
      </c>
      <c r="F84" s="4">
        <v>7057</v>
      </c>
      <c r="G84" s="5" t="s">
        <v>878</v>
      </c>
      <c r="H84" s="3">
        <v>500</v>
      </c>
      <c r="I84" s="3">
        <v>6500</v>
      </c>
      <c r="J84" s="3">
        <v>3000</v>
      </c>
      <c r="K84" s="3"/>
      <c r="L84" s="4">
        <f>SUM(H84:K84)</f>
        <v>10000</v>
      </c>
      <c r="M84" s="240">
        <v>17500</v>
      </c>
      <c r="N84" s="4"/>
      <c r="O84" s="86" t="s">
        <v>572</v>
      </c>
      <c r="P84" s="3"/>
    </row>
    <row r="85" spans="1:16" x14ac:dyDescent="0.3">
      <c r="A85" s="241"/>
      <c r="B85" s="254"/>
      <c r="C85" s="257"/>
      <c r="D85" s="287"/>
      <c r="E85" s="257"/>
      <c r="F85" s="4"/>
      <c r="G85" s="4"/>
      <c r="H85" s="4"/>
      <c r="I85" s="4"/>
      <c r="J85" s="4"/>
      <c r="K85" s="4"/>
      <c r="L85" s="4">
        <f>SUM(H85:K85)</f>
        <v>0</v>
      </c>
      <c r="M85" s="241"/>
      <c r="N85" s="4"/>
      <c r="O85" s="71"/>
      <c r="P85" s="4"/>
    </row>
    <row r="86" spans="1:16" x14ac:dyDescent="0.3">
      <c r="A86" s="241"/>
      <c r="B86" s="254"/>
      <c r="C86" s="257"/>
      <c r="D86" s="287"/>
      <c r="E86" s="257"/>
      <c r="F86" s="4"/>
      <c r="G86" s="4"/>
      <c r="H86" s="4"/>
      <c r="I86" s="4"/>
      <c r="J86" s="4"/>
      <c r="K86" s="4"/>
      <c r="L86" s="4">
        <f>SUM(H86:K86)</f>
        <v>0</v>
      </c>
      <c r="M86" s="241"/>
      <c r="N86" s="4"/>
      <c r="O86" s="78"/>
      <c r="P86" s="4"/>
    </row>
    <row r="87" spans="1:16" x14ac:dyDescent="0.3">
      <c r="A87" s="241"/>
      <c r="B87" s="254"/>
      <c r="C87" s="257"/>
      <c r="D87" s="287"/>
      <c r="E87" s="257"/>
      <c r="F87" s="4"/>
      <c r="G87" s="4"/>
      <c r="H87" s="4"/>
      <c r="I87" s="4"/>
      <c r="J87" s="4"/>
      <c r="K87" s="4"/>
      <c r="L87" s="4">
        <f>SUM(H87:K87)</f>
        <v>0</v>
      </c>
      <c r="M87" s="241"/>
      <c r="N87" s="4"/>
      <c r="O87" s="71"/>
      <c r="P87" s="4"/>
    </row>
    <row r="88" spans="1:16" ht="15" thickBot="1" x14ac:dyDescent="0.35">
      <c r="A88" s="241"/>
      <c r="B88" s="254"/>
      <c r="C88" s="257"/>
      <c r="D88" s="287"/>
      <c r="E88" s="257"/>
      <c r="F88" s="6"/>
      <c r="G88" s="6"/>
      <c r="H88" s="6"/>
      <c r="I88" s="6"/>
      <c r="J88" s="6"/>
      <c r="K88" s="6"/>
      <c r="L88" s="6">
        <f>SUM(H88:K88)</f>
        <v>0</v>
      </c>
      <c r="M88" s="242"/>
      <c r="N88" s="6"/>
      <c r="O88" s="87"/>
      <c r="P88" s="6"/>
    </row>
    <row r="89" spans="1:16" ht="15.6" thickTop="1" thickBot="1" x14ac:dyDescent="0.35">
      <c r="A89" s="242"/>
      <c r="B89" s="255"/>
      <c r="C89" s="258"/>
      <c r="D89" s="288"/>
      <c r="E89" s="258"/>
      <c r="F89" s="243" t="s">
        <v>17</v>
      </c>
      <c r="G89" s="244"/>
      <c r="H89" s="8">
        <f>SUM(H84:H88)</f>
        <v>500</v>
      </c>
      <c r="I89" s="8">
        <f t="shared" ref="I89:L89" si="32">SUM(I84:I88)</f>
        <v>6500</v>
      </c>
      <c r="J89" s="8">
        <f t="shared" si="32"/>
        <v>3000</v>
      </c>
      <c r="K89" s="8">
        <f t="shared" si="32"/>
        <v>0</v>
      </c>
      <c r="L89" s="8">
        <f t="shared" si="32"/>
        <v>10000</v>
      </c>
      <c r="M89" s="8"/>
      <c r="N89" s="8">
        <f>M84-L89</f>
        <v>7500</v>
      </c>
      <c r="O89" s="99" t="s">
        <v>48</v>
      </c>
      <c r="P89" s="8">
        <f t="shared" ref="P89" si="33">SUM(P84:P88)</f>
        <v>0</v>
      </c>
    </row>
    <row r="90" spans="1:16" ht="15" thickTop="1" x14ac:dyDescent="0.3">
      <c r="A90" s="248">
        <f t="shared" ref="A90" si="34">A84+1</f>
        <v>15</v>
      </c>
      <c r="B90" s="253" t="s">
        <v>882</v>
      </c>
      <c r="C90" s="256" t="s">
        <v>881</v>
      </c>
      <c r="D90" s="287" t="s">
        <v>570</v>
      </c>
      <c r="E90" s="371" t="s">
        <v>883</v>
      </c>
      <c r="F90" s="4">
        <v>7066</v>
      </c>
      <c r="G90" s="5" t="s">
        <v>873</v>
      </c>
      <c r="H90" s="3">
        <v>500</v>
      </c>
      <c r="I90" s="3">
        <v>6500</v>
      </c>
      <c r="J90" s="3">
        <v>3000</v>
      </c>
      <c r="K90" s="3"/>
      <c r="L90" s="4">
        <f>SUM(H90:K90)</f>
        <v>10000</v>
      </c>
      <c r="M90" s="240">
        <v>17500</v>
      </c>
      <c r="N90" s="4"/>
      <c r="O90" s="86" t="s">
        <v>572</v>
      </c>
      <c r="P90" s="3"/>
    </row>
    <row r="91" spans="1:16" x14ac:dyDescent="0.3">
      <c r="A91" s="241"/>
      <c r="B91" s="254"/>
      <c r="C91" s="257"/>
      <c r="D91" s="287"/>
      <c r="E91" s="257"/>
      <c r="F91" s="4"/>
      <c r="G91" s="4"/>
      <c r="H91" s="4"/>
      <c r="I91" s="4"/>
      <c r="J91" s="4"/>
      <c r="K91" s="4"/>
      <c r="L91" s="4">
        <f>SUM(H91:K91)</f>
        <v>0</v>
      </c>
      <c r="M91" s="241"/>
      <c r="N91" s="4"/>
      <c r="O91" s="71"/>
      <c r="P91" s="4"/>
    </row>
    <row r="92" spans="1:16" x14ac:dyDescent="0.3">
      <c r="A92" s="241"/>
      <c r="B92" s="254"/>
      <c r="C92" s="257"/>
      <c r="D92" s="287"/>
      <c r="E92" s="257"/>
      <c r="F92" s="4"/>
      <c r="G92" s="4"/>
      <c r="H92" s="4"/>
      <c r="I92" s="4"/>
      <c r="J92" s="4"/>
      <c r="K92" s="4"/>
      <c r="L92" s="4">
        <f>SUM(H92:K92)</f>
        <v>0</v>
      </c>
      <c r="M92" s="241"/>
      <c r="N92" s="4"/>
      <c r="O92" s="78"/>
      <c r="P92" s="4"/>
    </row>
    <row r="93" spans="1:16" x14ac:dyDescent="0.3">
      <c r="A93" s="241"/>
      <c r="B93" s="254"/>
      <c r="C93" s="257"/>
      <c r="D93" s="287"/>
      <c r="E93" s="257"/>
      <c r="F93" s="4"/>
      <c r="G93" s="4"/>
      <c r="H93" s="4"/>
      <c r="I93" s="4"/>
      <c r="J93" s="4"/>
      <c r="K93" s="4"/>
      <c r="L93" s="4">
        <f>SUM(H93:K93)</f>
        <v>0</v>
      </c>
      <c r="M93" s="241"/>
      <c r="N93" s="4"/>
      <c r="O93" s="71"/>
      <c r="P93" s="4"/>
    </row>
    <row r="94" spans="1:16" ht="15" thickBot="1" x14ac:dyDescent="0.35">
      <c r="A94" s="241"/>
      <c r="B94" s="254"/>
      <c r="C94" s="257"/>
      <c r="D94" s="287"/>
      <c r="E94" s="257"/>
      <c r="F94" s="6"/>
      <c r="G94" s="6"/>
      <c r="H94" s="6"/>
      <c r="I94" s="6"/>
      <c r="J94" s="6"/>
      <c r="K94" s="6"/>
      <c r="L94" s="6">
        <f>SUM(H94:K94)</f>
        <v>0</v>
      </c>
      <c r="M94" s="242"/>
      <c r="N94" s="6"/>
      <c r="O94" s="87"/>
      <c r="P94" s="6"/>
    </row>
    <row r="95" spans="1:16" ht="15.6" thickTop="1" thickBot="1" x14ac:dyDescent="0.35">
      <c r="A95" s="242"/>
      <c r="B95" s="255"/>
      <c r="C95" s="258"/>
      <c r="D95" s="288"/>
      <c r="E95" s="258"/>
      <c r="F95" s="243" t="s">
        <v>17</v>
      </c>
      <c r="G95" s="244"/>
      <c r="H95" s="8">
        <f>SUM(H90:H94)</f>
        <v>500</v>
      </c>
      <c r="I95" s="8">
        <f t="shared" ref="I95:L95" si="35">SUM(I90:I94)</f>
        <v>6500</v>
      </c>
      <c r="J95" s="8">
        <f t="shared" si="35"/>
        <v>3000</v>
      </c>
      <c r="K95" s="8">
        <f t="shared" si="35"/>
        <v>0</v>
      </c>
      <c r="L95" s="8">
        <f t="shared" si="35"/>
        <v>10000</v>
      </c>
      <c r="M95" s="8"/>
      <c r="N95" s="8">
        <f>M90-L95</f>
        <v>7500</v>
      </c>
      <c r="O95" s="99" t="s">
        <v>48</v>
      </c>
      <c r="P95" s="8">
        <f t="shared" ref="P95" si="36">SUM(P90:P94)</f>
        <v>0</v>
      </c>
    </row>
    <row r="96" spans="1:16" ht="15" thickTop="1" x14ac:dyDescent="0.3">
      <c r="A96" s="248">
        <f t="shared" ref="A96" si="37">A90+1</f>
        <v>16</v>
      </c>
      <c r="B96" s="279"/>
      <c r="C96" s="256" t="s">
        <v>678</v>
      </c>
      <c r="D96" s="287" t="s">
        <v>570</v>
      </c>
      <c r="E96" s="371" t="s">
        <v>768</v>
      </c>
      <c r="F96" s="4"/>
      <c r="G96" s="5"/>
      <c r="H96" s="3"/>
      <c r="I96" s="3"/>
      <c r="J96" s="3"/>
      <c r="K96" s="3"/>
      <c r="L96" s="4">
        <f>SUM(H96:K96)</f>
        <v>0</v>
      </c>
      <c r="M96" s="240"/>
      <c r="N96" s="4"/>
      <c r="O96" s="86" t="s">
        <v>572</v>
      </c>
      <c r="P96" s="3"/>
    </row>
    <row r="97" spans="1:16" x14ac:dyDescent="0.3">
      <c r="A97" s="241"/>
      <c r="B97" s="277"/>
      <c r="C97" s="257"/>
      <c r="D97" s="287"/>
      <c r="E97" s="257"/>
      <c r="F97" s="4"/>
      <c r="G97" s="4"/>
      <c r="H97" s="4"/>
      <c r="I97" s="4"/>
      <c r="J97" s="4"/>
      <c r="K97" s="4"/>
      <c r="L97" s="4">
        <f>SUM(H97:K97)</f>
        <v>0</v>
      </c>
      <c r="M97" s="241"/>
      <c r="N97" s="4"/>
      <c r="O97" s="71"/>
      <c r="P97" s="4"/>
    </row>
    <row r="98" spans="1:16" x14ac:dyDescent="0.3">
      <c r="A98" s="241"/>
      <c r="B98" s="277"/>
      <c r="C98" s="257"/>
      <c r="D98" s="287"/>
      <c r="E98" s="257"/>
      <c r="F98" s="4"/>
      <c r="G98" s="4"/>
      <c r="H98" s="4"/>
      <c r="I98" s="4"/>
      <c r="J98" s="4"/>
      <c r="K98" s="4"/>
      <c r="L98" s="4">
        <f>SUM(H98:K98)</f>
        <v>0</v>
      </c>
      <c r="M98" s="241"/>
      <c r="N98" s="4"/>
      <c r="O98" s="78"/>
      <c r="P98" s="4"/>
    </row>
    <row r="99" spans="1:16" x14ac:dyDescent="0.3">
      <c r="A99" s="241"/>
      <c r="B99" s="277"/>
      <c r="C99" s="257"/>
      <c r="D99" s="287"/>
      <c r="E99" s="257"/>
      <c r="F99" s="4"/>
      <c r="G99" s="4"/>
      <c r="H99" s="4"/>
      <c r="I99" s="4"/>
      <c r="J99" s="4"/>
      <c r="K99" s="4"/>
      <c r="L99" s="4">
        <f>SUM(H99:K99)</f>
        <v>0</v>
      </c>
      <c r="M99" s="241"/>
      <c r="N99" s="4"/>
      <c r="O99" s="71"/>
      <c r="P99" s="4"/>
    </row>
    <row r="100" spans="1:16" ht="15" thickBot="1" x14ac:dyDescent="0.35">
      <c r="A100" s="241"/>
      <c r="B100" s="277"/>
      <c r="C100" s="257"/>
      <c r="D100" s="287"/>
      <c r="E100" s="257"/>
      <c r="F100" s="6"/>
      <c r="G100" s="6"/>
      <c r="H100" s="6"/>
      <c r="I100" s="6"/>
      <c r="J100" s="6"/>
      <c r="K100" s="6"/>
      <c r="L100" s="6">
        <f>SUM(H100:K100)</f>
        <v>0</v>
      </c>
      <c r="M100" s="242"/>
      <c r="N100" s="6"/>
      <c r="O100" s="87"/>
      <c r="P100" s="6"/>
    </row>
    <row r="101" spans="1:16" ht="15.6" thickTop="1" thickBot="1" x14ac:dyDescent="0.35">
      <c r="A101" s="242"/>
      <c r="B101" s="278"/>
      <c r="C101" s="258"/>
      <c r="D101" s="288"/>
      <c r="E101" s="258"/>
      <c r="F101" s="243" t="s">
        <v>17</v>
      </c>
      <c r="G101" s="244"/>
      <c r="H101" s="8">
        <f>SUM(H96:H100)</f>
        <v>0</v>
      </c>
      <c r="I101" s="8">
        <f t="shared" ref="I101:L101" si="38">SUM(I96:I100)</f>
        <v>0</v>
      </c>
      <c r="J101" s="8">
        <f t="shared" si="38"/>
        <v>0</v>
      </c>
      <c r="K101" s="8">
        <f t="shared" si="38"/>
        <v>0</v>
      </c>
      <c r="L101" s="8">
        <f t="shared" si="38"/>
        <v>0</v>
      </c>
      <c r="M101" s="8"/>
      <c r="N101" s="8">
        <f>M96-L101</f>
        <v>0</v>
      </c>
      <c r="O101" s="99" t="s">
        <v>48</v>
      </c>
      <c r="P101" s="8">
        <f t="shared" ref="P101" si="39">SUM(P96:P100)</f>
        <v>0</v>
      </c>
    </row>
    <row r="102" spans="1:16" ht="15" thickTop="1" x14ac:dyDescent="0.3">
      <c r="A102" s="248">
        <f t="shared" ref="A102" si="40">A96+1</f>
        <v>17</v>
      </c>
      <c r="B102" s="279"/>
      <c r="C102" s="256" t="s">
        <v>678</v>
      </c>
      <c r="D102" s="287" t="s">
        <v>570</v>
      </c>
      <c r="E102" s="371" t="s">
        <v>768</v>
      </c>
      <c r="F102" s="4"/>
      <c r="G102" s="5"/>
      <c r="H102" s="3"/>
      <c r="I102" s="3"/>
      <c r="J102" s="3"/>
      <c r="K102" s="3"/>
      <c r="L102" s="4">
        <f>SUM(H102:K102)</f>
        <v>0</v>
      </c>
      <c r="M102" s="240"/>
      <c r="N102" s="4"/>
      <c r="O102" s="86" t="s">
        <v>572</v>
      </c>
      <c r="P102" s="3"/>
    </row>
    <row r="103" spans="1:16" x14ac:dyDescent="0.3">
      <c r="A103" s="241"/>
      <c r="B103" s="277"/>
      <c r="C103" s="257"/>
      <c r="D103" s="287"/>
      <c r="E103" s="257"/>
      <c r="F103" s="4"/>
      <c r="G103" s="4"/>
      <c r="H103" s="4"/>
      <c r="I103" s="4"/>
      <c r="J103" s="4"/>
      <c r="K103" s="4"/>
      <c r="L103" s="4">
        <f>SUM(H103:K103)</f>
        <v>0</v>
      </c>
      <c r="M103" s="241"/>
      <c r="N103" s="4"/>
      <c r="O103" s="71"/>
      <c r="P103" s="4"/>
    </row>
    <row r="104" spans="1:16" x14ac:dyDescent="0.3">
      <c r="A104" s="241"/>
      <c r="B104" s="277"/>
      <c r="C104" s="257"/>
      <c r="D104" s="287"/>
      <c r="E104" s="257"/>
      <c r="F104" s="4"/>
      <c r="G104" s="4"/>
      <c r="H104" s="4"/>
      <c r="I104" s="4"/>
      <c r="J104" s="4"/>
      <c r="K104" s="4"/>
      <c r="L104" s="4">
        <f>SUM(H104:K104)</f>
        <v>0</v>
      </c>
      <c r="M104" s="241"/>
      <c r="N104" s="4"/>
      <c r="O104" s="78"/>
      <c r="P104" s="4"/>
    </row>
    <row r="105" spans="1:16" x14ac:dyDescent="0.3">
      <c r="A105" s="241"/>
      <c r="B105" s="277"/>
      <c r="C105" s="257"/>
      <c r="D105" s="287"/>
      <c r="E105" s="257"/>
      <c r="F105" s="4"/>
      <c r="G105" s="4"/>
      <c r="H105" s="4"/>
      <c r="I105" s="4"/>
      <c r="J105" s="4"/>
      <c r="K105" s="4"/>
      <c r="L105" s="4">
        <f>SUM(H105:K105)</f>
        <v>0</v>
      </c>
      <c r="M105" s="241"/>
      <c r="N105" s="4"/>
      <c r="O105" s="71"/>
      <c r="P105" s="4"/>
    </row>
    <row r="106" spans="1:16" ht="15" thickBot="1" x14ac:dyDescent="0.35">
      <c r="A106" s="241"/>
      <c r="B106" s="277"/>
      <c r="C106" s="257"/>
      <c r="D106" s="287"/>
      <c r="E106" s="257"/>
      <c r="F106" s="6"/>
      <c r="G106" s="6"/>
      <c r="H106" s="6"/>
      <c r="I106" s="6"/>
      <c r="J106" s="6"/>
      <c r="K106" s="6"/>
      <c r="L106" s="6">
        <f>SUM(H106:K106)</f>
        <v>0</v>
      </c>
      <c r="M106" s="242"/>
      <c r="N106" s="6"/>
      <c r="O106" s="87"/>
      <c r="P106" s="6"/>
    </row>
    <row r="107" spans="1:16" ht="15.6" thickTop="1" thickBot="1" x14ac:dyDescent="0.35">
      <c r="A107" s="242"/>
      <c r="B107" s="278"/>
      <c r="C107" s="258"/>
      <c r="D107" s="288"/>
      <c r="E107" s="258"/>
      <c r="F107" s="243" t="s">
        <v>17</v>
      </c>
      <c r="G107" s="244"/>
      <c r="H107" s="8">
        <f>SUM(H102:H106)</f>
        <v>0</v>
      </c>
      <c r="I107" s="8">
        <f t="shared" ref="I107:L107" si="41">SUM(I102:I106)</f>
        <v>0</v>
      </c>
      <c r="J107" s="8">
        <f t="shared" si="41"/>
        <v>0</v>
      </c>
      <c r="K107" s="8">
        <f t="shared" si="41"/>
        <v>0</v>
      </c>
      <c r="L107" s="8">
        <f t="shared" si="41"/>
        <v>0</v>
      </c>
      <c r="M107" s="8"/>
      <c r="N107" s="8">
        <f>M102-L107</f>
        <v>0</v>
      </c>
      <c r="O107" s="99" t="s">
        <v>48</v>
      </c>
      <c r="P107" s="8">
        <f t="shared" ref="P107" si="42">SUM(P102:P106)</f>
        <v>0</v>
      </c>
    </row>
    <row r="108" spans="1:16" ht="15" thickTop="1" x14ac:dyDescent="0.3">
      <c r="A108" s="248">
        <f t="shared" ref="A108" si="43">A102+1</f>
        <v>18</v>
      </c>
      <c r="B108" s="279"/>
      <c r="C108" s="256" t="s">
        <v>678</v>
      </c>
      <c r="D108" s="287" t="s">
        <v>570</v>
      </c>
      <c r="E108" s="371" t="s">
        <v>768</v>
      </c>
      <c r="F108" s="4"/>
      <c r="G108" s="5"/>
      <c r="H108" s="3"/>
      <c r="I108" s="3"/>
      <c r="J108" s="3"/>
      <c r="K108" s="3"/>
      <c r="L108" s="4">
        <f>SUM(H108:K108)</f>
        <v>0</v>
      </c>
      <c r="M108" s="240"/>
      <c r="N108" s="4"/>
      <c r="O108" s="86" t="s">
        <v>572</v>
      </c>
      <c r="P108" s="3"/>
    </row>
    <row r="109" spans="1:16" x14ac:dyDescent="0.3">
      <c r="A109" s="241"/>
      <c r="B109" s="277"/>
      <c r="C109" s="257"/>
      <c r="D109" s="287"/>
      <c r="E109" s="257"/>
      <c r="F109" s="4"/>
      <c r="G109" s="4"/>
      <c r="H109" s="4"/>
      <c r="I109" s="4"/>
      <c r="J109" s="4"/>
      <c r="K109" s="4"/>
      <c r="L109" s="4">
        <f>SUM(H109:K109)</f>
        <v>0</v>
      </c>
      <c r="M109" s="241"/>
      <c r="N109" s="4"/>
      <c r="O109" s="71"/>
      <c r="P109" s="4"/>
    </row>
    <row r="110" spans="1:16" x14ac:dyDescent="0.3">
      <c r="A110" s="241"/>
      <c r="B110" s="277"/>
      <c r="C110" s="257"/>
      <c r="D110" s="287"/>
      <c r="E110" s="257"/>
      <c r="F110" s="4"/>
      <c r="G110" s="4"/>
      <c r="H110" s="4"/>
      <c r="I110" s="4"/>
      <c r="J110" s="4"/>
      <c r="K110" s="4"/>
      <c r="L110" s="4">
        <f>SUM(H110:K110)</f>
        <v>0</v>
      </c>
      <c r="M110" s="241"/>
      <c r="N110" s="4"/>
      <c r="O110" s="78"/>
      <c r="P110" s="4"/>
    </row>
    <row r="111" spans="1:16" x14ac:dyDescent="0.3">
      <c r="A111" s="241"/>
      <c r="B111" s="277"/>
      <c r="C111" s="257"/>
      <c r="D111" s="287"/>
      <c r="E111" s="257"/>
      <c r="F111" s="4"/>
      <c r="G111" s="4"/>
      <c r="H111" s="4"/>
      <c r="I111" s="4"/>
      <c r="J111" s="4"/>
      <c r="K111" s="4"/>
      <c r="L111" s="4">
        <f>SUM(H111:K111)</f>
        <v>0</v>
      </c>
      <c r="M111" s="241"/>
      <c r="N111" s="4"/>
      <c r="O111" s="71"/>
      <c r="P111" s="4"/>
    </row>
    <row r="112" spans="1:16" ht="15" thickBot="1" x14ac:dyDescent="0.35">
      <c r="A112" s="241"/>
      <c r="B112" s="277"/>
      <c r="C112" s="257"/>
      <c r="D112" s="287"/>
      <c r="E112" s="257"/>
      <c r="F112" s="6"/>
      <c r="G112" s="6"/>
      <c r="H112" s="6"/>
      <c r="I112" s="6"/>
      <c r="J112" s="6"/>
      <c r="K112" s="6"/>
      <c r="L112" s="6">
        <f>SUM(H112:K112)</f>
        <v>0</v>
      </c>
      <c r="M112" s="242"/>
      <c r="N112" s="6"/>
      <c r="O112" s="87"/>
      <c r="P112" s="6"/>
    </row>
    <row r="113" spans="1:16" ht="15.6" thickTop="1" thickBot="1" x14ac:dyDescent="0.35">
      <c r="A113" s="242"/>
      <c r="B113" s="278"/>
      <c r="C113" s="258"/>
      <c r="D113" s="288"/>
      <c r="E113" s="258"/>
      <c r="F113" s="243" t="s">
        <v>17</v>
      </c>
      <c r="G113" s="244"/>
      <c r="H113" s="8">
        <f>SUM(H108:H112)</f>
        <v>0</v>
      </c>
      <c r="I113" s="8">
        <f t="shared" ref="I113:L113" si="44">SUM(I108:I112)</f>
        <v>0</v>
      </c>
      <c r="J113" s="8">
        <f t="shared" si="44"/>
        <v>0</v>
      </c>
      <c r="K113" s="8">
        <f t="shared" si="44"/>
        <v>0</v>
      </c>
      <c r="L113" s="8">
        <f t="shared" si="44"/>
        <v>0</v>
      </c>
      <c r="M113" s="8"/>
      <c r="N113" s="8">
        <f>M108-L113</f>
        <v>0</v>
      </c>
      <c r="O113" s="99" t="s">
        <v>48</v>
      </c>
      <c r="P113" s="8">
        <f t="shared" ref="P113" si="45">SUM(P108:P112)</f>
        <v>0</v>
      </c>
    </row>
    <row r="114" spans="1:16" ht="16.2" thickTop="1" x14ac:dyDescent="0.3">
      <c r="A114" s="372" t="s">
        <v>15</v>
      </c>
      <c r="B114" s="373"/>
      <c r="C114" s="373"/>
      <c r="D114" s="373"/>
      <c r="E114" s="373"/>
      <c r="F114" s="373"/>
      <c r="G114" s="374"/>
      <c r="H114" s="2">
        <f t="shared" ref="H114:L114" si="46">+H35+H29+H23+H17+H11+H41+H47+H53+H59+H65+H71+H77+H83+H89+H95+H101+H107+H113</f>
        <v>7500</v>
      </c>
      <c r="I114" s="2">
        <f t="shared" si="46"/>
        <v>127500</v>
      </c>
      <c r="J114" s="2">
        <f t="shared" si="46"/>
        <v>45000</v>
      </c>
      <c r="K114" s="2">
        <f t="shared" si="46"/>
        <v>0</v>
      </c>
      <c r="L114" s="2">
        <f t="shared" si="46"/>
        <v>180000</v>
      </c>
      <c r="M114" s="2">
        <f>+M30+M24+M18+M12+M6+M36+M42+M48+M54+M60+M66+M72+M78+M84+M90+M96+M102+M108</f>
        <v>262500</v>
      </c>
      <c r="N114" s="2">
        <f>+N35+N29+N23+N17+N11+N41+N47+N53+N59+N65+N71+N77+N83+N89+N95+N101+N107+N113</f>
        <v>82500</v>
      </c>
      <c r="O114" s="83"/>
      <c r="P114" s="2">
        <f>+P35+P29+P23+P17+P11</f>
        <v>0</v>
      </c>
    </row>
    <row r="115" spans="1:16" ht="15.75" customHeight="1" x14ac:dyDescent="0.3"/>
  </sheetData>
  <mergeCells count="131">
    <mergeCell ref="M108:M112"/>
    <mergeCell ref="F113:G113"/>
    <mergeCell ref="A108:A113"/>
    <mergeCell ref="B108:B113"/>
    <mergeCell ref="C108:C113"/>
    <mergeCell ref="D108:D113"/>
    <mergeCell ref="E108:E113"/>
    <mergeCell ref="M96:M100"/>
    <mergeCell ref="F101:G101"/>
    <mergeCell ref="A102:A107"/>
    <mergeCell ref="B102:B107"/>
    <mergeCell ref="C102:C107"/>
    <mergeCell ref="D102:D107"/>
    <mergeCell ref="E102:E107"/>
    <mergeCell ref="M102:M106"/>
    <mergeCell ref="F107:G107"/>
    <mergeCell ref="A96:A101"/>
    <mergeCell ref="B96:B101"/>
    <mergeCell ref="C96:C101"/>
    <mergeCell ref="D96:D101"/>
    <mergeCell ref="E96:E101"/>
    <mergeCell ref="M84:M88"/>
    <mergeCell ref="F89:G89"/>
    <mergeCell ref="A90:A95"/>
    <mergeCell ref="B90:B95"/>
    <mergeCell ref="C90:C95"/>
    <mergeCell ref="D90:D95"/>
    <mergeCell ref="E90:E95"/>
    <mergeCell ref="M90:M94"/>
    <mergeCell ref="F95:G95"/>
    <mergeCell ref="A84:A89"/>
    <mergeCell ref="B84:B89"/>
    <mergeCell ref="C84:C89"/>
    <mergeCell ref="D84:D89"/>
    <mergeCell ref="E84:E89"/>
    <mergeCell ref="M48:M52"/>
    <mergeCell ref="F53:G53"/>
    <mergeCell ref="A54:A59"/>
    <mergeCell ref="B54:B59"/>
    <mergeCell ref="C54:C59"/>
    <mergeCell ref="D54:D59"/>
    <mergeCell ref="E54:E59"/>
    <mergeCell ref="M54:M58"/>
    <mergeCell ref="F59:G59"/>
    <mergeCell ref="A48:A53"/>
    <mergeCell ref="B48:B53"/>
    <mergeCell ref="C48:C53"/>
    <mergeCell ref="D48:D53"/>
    <mergeCell ref="E48:E53"/>
    <mergeCell ref="M36:M40"/>
    <mergeCell ref="F41:G41"/>
    <mergeCell ref="A42:A47"/>
    <mergeCell ref="B42:B47"/>
    <mergeCell ref="C42:C47"/>
    <mergeCell ref="D42:D47"/>
    <mergeCell ref="E42:E47"/>
    <mergeCell ref="M42:M46"/>
    <mergeCell ref="F47:G47"/>
    <mergeCell ref="A36:A41"/>
    <mergeCell ref="B36:B41"/>
    <mergeCell ref="C36:C41"/>
    <mergeCell ref="D36:D41"/>
    <mergeCell ref="E36:E41"/>
    <mergeCell ref="D30:D35"/>
    <mergeCell ref="M6:M10"/>
    <mergeCell ref="A18:A23"/>
    <mergeCell ref="B18:B23"/>
    <mergeCell ref="C18:C23"/>
    <mergeCell ref="D18:D23"/>
    <mergeCell ref="M12:M16"/>
    <mergeCell ref="M18:M22"/>
    <mergeCell ref="M24:M28"/>
    <mergeCell ref="E30:E35"/>
    <mergeCell ref="A30:A35"/>
    <mergeCell ref="B30:B35"/>
    <mergeCell ref="C30:C35"/>
    <mergeCell ref="M30:M34"/>
    <mergeCell ref="A6:A11"/>
    <mergeCell ref="B6:B11"/>
    <mergeCell ref="C6:C11"/>
    <mergeCell ref="D6:D11"/>
    <mergeCell ref="E6:E11"/>
    <mergeCell ref="A24:A29"/>
    <mergeCell ref="B24:B29"/>
    <mergeCell ref="C24:C29"/>
    <mergeCell ref="D24:D29"/>
    <mergeCell ref="E24:E29"/>
    <mergeCell ref="A3:P3"/>
    <mergeCell ref="A2:P2"/>
    <mergeCell ref="A1:P1"/>
    <mergeCell ref="A114:G114"/>
    <mergeCell ref="F11:G11"/>
    <mergeCell ref="F17:G17"/>
    <mergeCell ref="F23:G23"/>
    <mergeCell ref="F29:G29"/>
    <mergeCell ref="F35:G35"/>
    <mergeCell ref="D12:D17"/>
    <mergeCell ref="E12:E17"/>
    <mergeCell ref="A12:A17"/>
    <mergeCell ref="B12:B17"/>
    <mergeCell ref="C12:C17"/>
    <mergeCell ref="A4:P4"/>
    <mergeCell ref="E18:E23"/>
    <mergeCell ref="M60:M64"/>
    <mergeCell ref="F65:G65"/>
    <mergeCell ref="A66:A71"/>
    <mergeCell ref="B66:B71"/>
    <mergeCell ref="C66:C71"/>
    <mergeCell ref="D66:D71"/>
    <mergeCell ref="E66:E71"/>
    <mergeCell ref="M66:M70"/>
    <mergeCell ref="F71:G71"/>
    <mergeCell ref="A60:A65"/>
    <mergeCell ref="B60:B65"/>
    <mergeCell ref="C60:C65"/>
    <mergeCell ref="D60:D65"/>
    <mergeCell ref="E60:E65"/>
    <mergeCell ref="M72:M76"/>
    <mergeCell ref="F77:G77"/>
    <mergeCell ref="A78:A83"/>
    <mergeCell ref="B78:B83"/>
    <mergeCell ref="C78:C83"/>
    <mergeCell ref="D78:D83"/>
    <mergeCell ref="E78:E83"/>
    <mergeCell ref="M78:M82"/>
    <mergeCell ref="F83:G83"/>
    <mergeCell ref="A72:A77"/>
    <mergeCell ref="B72:B77"/>
    <mergeCell ref="C72:C77"/>
    <mergeCell ref="D72:D77"/>
    <mergeCell ref="E72:E77"/>
  </mergeCells>
  <pageMargins left="0.16" right="0" top="0.23622047244094491" bottom="0.23622047244094491" header="0.31496062992125984" footer="0.31496062992125984"/>
  <pageSetup paperSize="9" scale="8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workbookViewId="0">
      <pane xSplit="5" ySplit="5" topLeftCell="F10" activePane="bottomRight" state="frozen"/>
      <selection activeCell="D74" sqref="D74:E74"/>
      <selection pane="topRight" activeCell="D74" sqref="D74:E74"/>
      <selection pane="bottomLeft" activeCell="D74" sqref="D74:E74"/>
      <selection pane="bottomRight" activeCell="C12" sqref="C12:C17"/>
    </sheetView>
  </sheetViews>
  <sheetFormatPr defaultRowHeight="14.4" x14ac:dyDescent="0.3"/>
  <cols>
    <col min="1" max="1" width="3.5546875" customWidth="1"/>
    <col min="2" max="2" width="30.6640625" customWidth="1"/>
    <col min="3" max="3" width="6.6640625" customWidth="1"/>
    <col min="4" max="4" width="8" style="152" customWidth="1"/>
    <col min="5" max="5" width="10" customWidth="1"/>
    <col min="6" max="6" width="7.5546875" customWidth="1"/>
    <col min="7" max="7" width="10.5546875" customWidth="1"/>
    <col min="8" max="8" width="8.6640625" customWidth="1"/>
    <col min="9" max="9" width="8.88671875" customWidth="1"/>
    <col min="10" max="10" width="10" customWidth="1"/>
    <col min="11" max="11" width="8" customWidth="1"/>
    <col min="12" max="12" width="10.109375" customWidth="1"/>
    <col min="13" max="13" width="11.109375" customWidth="1"/>
    <col min="14" max="14" width="12.109375" customWidth="1"/>
    <col min="15" max="15" width="16.44140625" style="84" customWidth="1"/>
    <col min="16" max="16" width="8.6640625" customWidth="1"/>
  </cols>
  <sheetData>
    <row r="1" spans="1:16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 spans="1:16" ht="27.6" x14ac:dyDescent="0.45">
      <c r="A2" s="318" t="s">
        <v>11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</row>
    <row r="3" spans="1:16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</row>
    <row r="4" spans="1:16" ht="25.2" x14ac:dyDescent="0.45">
      <c r="A4" s="343" t="s">
        <v>434</v>
      </c>
      <c r="B4" s="343"/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</row>
    <row r="5" spans="1:16" ht="40.200000000000003" thickBot="1" x14ac:dyDescent="0.35">
      <c r="A5" s="74" t="s">
        <v>0</v>
      </c>
      <c r="B5" s="75" t="s">
        <v>13</v>
      </c>
      <c r="C5" s="61" t="s">
        <v>14</v>
      </c>
      <c r="D5" s="151" t="s">
        <v>1</v>
      </c>
      <c r="E5" s="61" t="s">
        <v>2</v>
      </c>
      <c r="F5" s="61" t="s">
        <v>8</v>
      </c>
      <c r="G5" s="61" t="s">
        <v>9</v>
      </c>
      <c r="H5" s="61" t="s">
        <v>46</v>
      </c>
      <c r="I5" s="61" t="s">
        <v>3</v>
      </c>
      <c r="J5" s="61" t="s">
        <v>4</v>
      </c>
      <c r="K5" s="61" t="s">
        <v>5</v>
      </c>
      <c r="L5" s="61" t="s">
        <v>15</v>
      </c>
      <c r="M5" s="61" t="s">
        <v>49</v>
      </c>
      <c r="N5" s="61" t="s">
        <v>6</v>
      </c>
      <c r="O5" s="102" t="s">
        <v>7</v>
      </c>
      <c r="P5" s="61" t="s">
        <v>44</v>
      </c>
    </row>
    <row r="6" spans="1:16" ht="17.25" customHeight="1" thickTop="1" x14ac:dyDescent="0.3">
      <c r="A6" s="248">
        <v>1</v>
      </c>
      <c r="B6" s="253" t="s">
        <v>573</v>
      </c>
      <c r="C6" s="257" t="s">
        <v>488</v>
      </c>
      <c r="D6" s="287" t="s">
        <v>570</v>
      </c>
      <c r="E6" s="270" t="s">
        <v>574</v>
      </c>
      <c r="F6" s="20">
        <v>6919</v>
      </c>
      <c r="G6" s="22" t="s">
        <v>575</v>
      </c>
      <c r="H6" s="4">
        <v>500</v>
      </c>
      <c r="I6" s="4">
        <v>3000</v>
      </c>
      <c r="J6" s="4">
        <v>3000</v>
      </c>
      <c r="K6" s="4"/>
      <c r="L6" s="4">
        <f>SUM(H6:K6)</f>
        <v>6500</v>
      </c>
      <c r="M6" s="340">
        <v>14500</v>
      </c>
      <c r="N6" s="4"/>
      <c r="O6" s="86"/>
      <c r="P6" s="20">
        <v>1500</v>
      </c>
    </row>
    <row r="7" spans="1:16" ht="17.25" customHeight="1" x14ac:dyDescent="0.3">
      <c r="A7" s="241"/>
      <c r="B7" s="254"/>
      <c r="C7" s="257"/>
      <c r="D7" s="287"/>
      <c r="E7" s="257"/>
      <c r="F7" s="4"/>
      <c r="G7" s="4"/>
      <c r="H7" s="4"/>
      <c r="I7" s="4"/>
      <c r="J7" s="4"/>
      <c r="K7" s="4"/>
      <c r="L7" s="4">
        <f>SUM(H7:K7)</f>
        <v>0</v>
      </c>
      <c r="M7" s="340"/>
      <c r="N7" s="4"/>
      <c r="O7" s="71"/>
      <c r="P7" s="4"/>
    </row>
    <row r="8" spans="1:16" ht="17.25" customHeight="1" x14ac:dyDescent="0.3">
      <c r="A8" s="241"/>
      <c r="B8" s="254"/>
      <c r="C8" s="257"/>
      <c r="D8" s="287"/>
      <c r="E8" s="257"/>
      <c r="F8" s="16"/>
      <c r="G8" s="4"/>
      <c r="H8" s="4"/>
      <c r="I8" s="4"/>
      <c r="J8" s="4"/>
      <c r="K8" s="4"/>
      <c r="L8" s="4">
        <f>SUM(H8:K8)</f>
        <v>0</v>
      </c>
      <c r="M8" s="340"/>
      <c r="N8" s="4"/>
      <c r="O8" s="78"/>
      <c r="P8" s="4"/>
    </row>
    <row r="9" spans="1:16" ht="17.25" customHeight="1" x14ac:dyDescent="0.3">
      <c r="A9" s="241"/>
      <c r="B9" s="254"/>
      <c r="C9" s="257"/>
      <c r="D9" s="287"/>
      <c r="E9" s="257"/>
      <c r="F9" s="4"/>
      <c r="G9" s="4"/>
      <c r="H9" s="4"/>
      <c r="I9" s="4"/>
      <c r="J9" s="4"/>
      <c r="K9" s="4"/>
      <c r="L9" s="4">
        <f>SUM(H9:K9)</f>
        <v>0</v>
      </c>
      <c r="M9" s="340"/>
      <c r="N9" s="4"/>
      <c r="O9" s="71"/>
      <c r="P9" s="4"/>
    </row>
    <row r="10" spans="1:16" ht="17.25" customHeight="1" thickBot="1" x14ac:dyDescent="0.35">
      <c r="A10" s="241"/>
      <c r="B10" s="254"/>
      <c r="C10" s="257"/>
      <c r="D10" s="287"/>
      <c r="E10" s="257"/>
      <c r="F10" s="6"/>
      <c r="G10" s="6"/>
      <c r="H10" s="4"/>
      <c r="I10" s="4"/>
      <c r="J10" s="4"/>
      <c r="K10" s="4"/>
      <c r="L10" s="4">
        <f>SUM(H10:K10)</f>
        <v>0</v>
      </c>
      <c r="M10" s="340"/>
      <c r="N10" s="4"/>
      <c r="O10" s="87"/>
      <c r="P10" s="6"/>
    </row>
    <row r="11" spans="1:16" ht="17.25" customHeight="1" thickTop="1" thickBot="1" x14ac:dyDescent="0.35">
      <c r="A11" s="242"/>
      <c r="B11" s="255"/>
      <c r="C11" s="258"/>
      <c r="D11" s="288"/>
      <c r="E11" s="258"/>
      <c r="F11" s="243"/>
      <c r="G11" s="244"/>
      <c r="H11" s="56">
        <f>SUM(H6:H10)</f>
        <v>500</v>
      </c>
      <c r="I11" s="56">
        <f t="shared" ref="I11:L11" si="0">SUM(I6:I10)</f>
        <v>3000</v>
      </c>
      <c r="J11" s="56">
        <f t="shared" si="0"/>
        <v>3000</v>
      </c>
      <c r="K11" s="56">
        <f t="shared" si="0"/>
        <v>0</v>
      </c>
      <c r="L11" s="56">
        <f t="shared" si="0"/>
        <v>6500</v>
      </c>
      <c r="M11" s="56"/>
      <c r="N11" s="56">
        <f>M6-L11</f>
        <v>8000</v>
      </c>
      <c r="O11" s="100"/>
      <c r="P11" s="56">
        <f t="shared" ref="P11" si="1">SUM(P6:P10)</f>
        <v>1500</v>
      </c>
    </row>
    <row r="12" spans="1:16" ht="17.25" customHeight="1" thickTop="1" x14ac:dyDescent="0.3">
      <c r="A12" s="248">
        <v>2</v>
      </c>
      <c r="B12" s="337" t="s">
        <v>628</v>
      </c>
      <c r="C12" s="286" t="s">
        <v>153</v>
      </c>
      <c r="D12" s="339" t="s">
        <v>838</v>
      </c>
      <c r="E12" s="297" t="s">
        <v>630</v>
      </c>
      <c r="F12" s="3">
        <v>6968</v>
      </c>
      <c r="G12" s="26" t="s">
        <v>631</v>
      </c>
      <c r="H12" s="4">
        <v>500</v>
      </c>
      <c r="I12" s="4">
        <v>1500</v>
      </c>
      <c r="J12" s="4">
        <v>3000</v>
      </c>
      <c r="K12" s="4"/>
      <c r="L12" s="4">
        <f>SUM(H12:K12)</f>
        <v>5000</v>
      </c>
      <c r="M12" s="340">
        <v>14500</v>
      </c>
      <c r="N12" s="4"/>
      <c r="O12" s="194" t="s">
        <v>295</v>
      </c>
      <c r="P12" s="3"/>
    </row>
    <row r="13" spans="1:16" ht="17.25" customHeight="1" x14ac:dyDescent="0.3">
      <c r="A13" s="241"/>
      <c r="B13" s="284"/>
      <c r="C13" s="287"/>
      <c r="D13" s="339"/>
      <c r="E13" s="354"/>
      <c r="F13" s="16"/>
      <c r="G13" s="4"/>
      <c r="H13" s="4"/>
      <c r="I13" s="4"/>
      <c r="J13" s="4"/>
      <c r="K13" s="4"/>
      <c r="L13" s="4">
        <f>SUM(H13:K13)</f>
        <v>0</v>
      </c>
      <c r="M13" s="340"/>
      <c r="N13" s="4"/>
      <c r="O13" s="195"/>
      <c r="P13" s="4"/>
    </row>
    <row r="14" spans="1:16" ht="17.25" customHeight="1" x14ac:dyDescent="0.3">
      <c r="A14" s="241"/>
      <c r="B14" s="284"/>
      <c r="C14" s="287"/>
      <c r="D14" s="339"/>
      <c r="E14" s="354"/>
      <c r="F14" s="16"/>
      <c r="G14" s="26"/>
      <c r="H14" s="4"/>
      <c r="I14" s="4"/>
      <c r="J14" s="4"/>
      <c r="K14" s="4"/>
      <c r="L14" s="4">
        <f>SUM(H14:K14)</f>
        <v>0</v>
      </c>
      <c r="M14" s="340"/>
      <c r="N14" s="4"/>
      <c r="O14" s="78"/>
      <c r="P14" s="4"/>
    </row>
    <row r="15" spans="1:16" ht="17.25" customHeight="1" x14ac:dyDescent="0.3">
      <c r="A15" s="241"/>
      <c r="B15" s="284"/>
      <c r="C15" s="287"/>
      <c r="D15" s="339"/>
      <c r="E15" s="354"/>
      <c r="F15" s="16"/>
      <c r="G15" s="4"/>
      <c r="H15" s="4"/>
      <c r="I15" s="4"/>
      <c r="J15" s="4"/>
      <c r="K15" s="4"/>
      <c r="L15" s="4">
        <f>SUM(H15:K15)</f>
        <v>0</v>
      </c>
      <c r="M15" s="340"/>
      <c r="N15" s="4"/>
      <c r="O15" s="71"/>
      <c r="P15" s="4"/>
    </row>
    <row r="16" spans="1:16" ht="17.25" customHeight="1" thickBot="1" x14ac:dyDescent="0.35">
      <c r="A16" s="241"/>
      <c r="B16" s="284"/>
      <c r="C16" s="287"/>
      <c r="D16" s="339"/>
      <c r="E16" s="354"/>
      <c r="F16" s="6"/>
      <c r="G16" s="6"/>
      <c r="H16" s="4"/>
      <c r="I16" s="4"/>
      <c r="J16" s="4"/>
      <c r="K16" s="4"/>
      <c r="L16" s="4">
        <f>SUM(H16:K16)</f>
        <v>0</v>
      </c>
      <c r="M16" s="340"/>
      <c r="N16" s="4"/>
      <c r="O16" s="87"/>
      <c r="P16" s="6"/>
    </row>
    <row r="17" spans="1:16" ht="17.25" customHeight="1" thickTop="1" thickBot="1" x14ac:dyDescent="0.35">
      <c r="A17" s="242"/>
      <c r="B17" s="285"/>
      <c r="C17" s="338"/>
      <c r="D17" s="339"/>
      <c r="E17" s="355"/>
      <c r="F17" s="243"/>
      <c r="G17" s="244"/>
      <c r="H17" s="56">
        <f>SUM(H12:H16)</f>
        <v>500</v>
      </c>
      <c r="I17" s="56">
        <f t="shared" ref="I17:L17" si="2">SUM(I12:I16)</f>
        <v>1500</v>
      </c>
      <c r="J17" s="56">
        <f t="shared" si="2"/>
        <v>3000</v>
      </c>
      <c r="K17" s="56">
        <f t="shared" si="2"/>
        <v>0</v>
      </c>
      <c r="L17" s="56">
        <f t="shared" si="2"/>
        <v>5000</v>
      </c>
      <c r="M17" s="56"/>
      <c r="N17" s="56">
        <f>M12-L17</f>
        <v>9500</v>
      </c>
      <c r="O17" s="100"/>
      <c r="P17" s="56">
        <f t="shared" ref="P17" si="3">SUM(P12:P16)</f>
        <v>0</v>
      </c>
    </row>
    <row r="18" spans="1:16" ht="17.25" customHeight="1" thickTop="1" x14ac:dyDescent="0.3">
      <c r="A18" s="260">
        <v>3</v>
      </c>
      <c r="B18" s="279" t="s">
        <v>837</v>
      </c>
      <c r="C18" s="267" t="s">
        <v>400</v>
      </c>
      <c r="D18" s="379" t="s">
        <v>570</v>
      </c>
      <c r="E18" s="375" t="s">
        <v>763</v>
      </c>
      <c r="F18" s="39">
        <v>7018</v>
      </c>
      <c r="G18" s="40" t="s">
        <v>832</v>
      </c>
      <c r="H18" s="36">
        <v>500</v>
      </c>
      <c r="I18" s="36">
        <v>11000</v>
      </c>
      <c r="J18" s="36">
        <v>3000</v>
      </c>
      <c r="K18" s="36"/>
      <c r="L18" s="36">
        <f>SUM(H18:K18)</f>
        <v>14500</v>
      </c>
      <c r="M18" s="356">
        <v>14500</v>
      </c>
      <c r="N18" s="36"/>
      <c r="O18" s="94" t="s">
        <v>295</v>
      </c>
      <c r="P18" s="39"/>
    </row>
    <row r="19" spans="1:16" ht="17.25" customHeight="1" x14ac:dyDescent="0.3">
      <c r="A19" s="249"/>
      <c r="B19" s="277"/>
      <c r="C19" s="267"/>
      <c r="D19" s="379"/>
      <c r="E19" s="267"/>
      <c r="F19" s="31"/>
      <c r="G19" s="36"/>
      <c r="H19" s="36"/>
      <c r="I19" s="36"/>
      <c r="J19" s="36"/>
      <c r="K19" s="36"/>
      <c r="L19" s="36">
        <f>SUM(H19:K19)</f>
        <v>0</v>
      </c>
      <c r="M19" s="356"/>
      <c r="N19" s="36"/>
      <c r="O19" s="73"/>
      <c r="P19" s="36"/>
    </row>
    <row r="20" spans="1:16" ht="17.25" customHeight="1" x14ac:dyDescent="0.3">
      <c r="A20" s="249"/>
      <c r="B20" s="277"/>
      <c r="C20" s="267"/>
      <c r="D20" s="379"/>
      <c r="E20" s="267"/>
      <c r="F20" s="31"/>
      <c r="G20" s="48"/>
      <c r="H20" s="36"/>
      <c r="I20" s="36"/>
      <c r="J20" s="36"/>
      <c r="K20" s="36"/>
      <c r="L20" s="36">
        <f>SUM(H20:K20)</f>
        <v>0</v>
      </c>
      <c r="M20" s="356"/>
      <c r="N20" s="36"/>
      <c r="O20" s="81"/>
      <c r="P20" s="36"/>
    </row>
    <row r="21" spans="1:16" ht="17.25" customHeight="1" x14ac:dyDescent="0.3">
      <c r="A21" s="249"/>
      <c r="B21" s="277"/>
      <c r="C21" s="267"/>
      <c r="D21" s="379"/>
      <c r="E21" s="267"/>
      <c r="F21" s="36"/>
      <c r="G21" s="36"/>
      <c r="H21" s="36"/>
      <c r="I21" s="36"/>
      <c r="J21" s="36"/>
      <c r="K21" s="36"/>
      <c r="L21" s="36">
        <f>SUM(H21:K21)</f>
        <v>0</v>
      </c>
      <c r="M21" s="356"/>
      <c r="N21" s="36"/>
      <c r="O21" s="73"/>
      <c r="P21" s="36"/>
    </row>
    <row r="22" spans="1:16" ht="17.25" customHeight="1" thickBot="1" x14ac:dyDescent="0.35">
      <c r="A22" s="249"/>
      <c r="B22" s="277"/>
      <c r="C22" s="267"/>
      <c r="D22" s="379"/>
      <c r="E22" s="267"/>
      <c r="F22" s="41"/>
      <c r="G22" s="41"/>
      <c r="H22" s="36"/>
      <c r="I22" s="36"/>
      <c r="J22" s="36"/>
      <c r="K22" s="36"/>
      <c r="L22" s="36">
        <f>SUM(H22:K22)</f>
        <v>0</v>
      </c>
      <c r="M22" s="356"/>
      <c r="N22" s="36"/>
      <c r="O22" s="93"/>
      <c r="P22" s="41"/>
    </row>
    <row r="23" spans="1:16" ht="17.25" customHeight="1" thickTop="1" thickBot="1" x14ac:dyDescent="0.35">
      <c r="A23" s="250"/>
      <c r="B23" s="278"/>
      <c r="C23" s="268"/>
      <c r="D23" s="380"/>
      <c r="E23" s="268"/>
      <c r="F23" s="251"/>
      <c r="G23" s="252"/>
      <c r="H23" s="57">
        <f>SUM(H18:H22)</f>
        <v>500</v>
      </c>
      <c r="I23" s="57">
        <f t="shared" ref="I23:L23" si="4">SUM(I18:I22)</f>
        <v>11000</v>
      </c>
      <c r="J23" s="57">
        <f t="shared" si="4"/>
        <v>3000</v>
      </c>
      <c r="K23" s="57">
        <f t="shared" si="4"/>
        <v>0</v>
      </c>
      <c r="L23" s="57">
        <f t="shared" si="4"/>
        <v>14500</v>
      </c>
      <c r="M23" s="57"/>
      <c r="N23" s="57">
        <f>M18-L23</f>
        <v>0</v>
      </c>
      <c r="O23" s="111"/>
      <c r="P23" s="56">
        <f t="shared" ref="P23" si="5">SUM(P18:P22)</f>
        <v>0</v>
      </c>
    </row>
    <row r="24" spans="1:16" ht="17.25" customHeight="1" thickTop="1" x14ac:dyDescent="0.3">
      <c r="A24" s="260"/>
      <c r="B24" s="279"/>
      <c r="C24" s="280"/>
      <c r="D24" s="377"/>
      <c r="E24" s="375"/>
      <c r="F24" s="39"/>
      <c r="G24" s="40"/>
      <c r="H24" s="4"/>
      <c r="I24" s="4"/>
      <c r="J24" s="4"/>
      <c r="K24" s="4"/>
      <c r="L24" s="4">
        <f>SUM(H24:K24)</f>
        <v>0</v>
      </c>
      <c r="M24" s="340"/>
      <c r="N24" s="4"/>
      <c r="O24" s="94"/>
      <c r="P24" s="39"/>
    </row>
    <row r="25" spans="1:16" ht="17.25" customHeight="1" x14ac:dyDescent="0.3">
      <c r="A25" s="249"/>
      <c r="B25" s="277"/>
      <c r="C25" s="267"/>
      <c r="D25" s="377"/>
      <c r="E25" s="267"/>
      <c r="F25" s="31"/>
      <c r="G25" s="48"/>
      <c r="H25" s="4"/>
      <c r="I25" s="4"/>
      <c r="J25" s="4"/>
      <c r="K25" s="4"/>
      <c r="L25" s="4">
        <f>SUM(H25:K25)</f>
        <v>0</v>
      </c>
      <c r="M25" s="340"/>
      <c r="N25" s="4"/>
      <c r="O25" s="73"/>
      <c r="P25" s="36"/>
    </row>
    <row r="26" spans="1:16" ht="17.25" customHeight="1" x14ac:dyDescent="0.3">
      <c r="A26" s="249"/>
      <c r="B26" s="277"/>
      <c r="C26" s="267"/>
      <c r="D26" s="377"/>
      <c r="E26" s="267"/>
      <c r="F26" s="31"/>
      <c r="G26" s="37"/>
      <c r="H26" s="4"/>
      <c r="I26" s="4"/>
      <c r="J26" s="4"/>
      <c r="K26" s="4"/>
      <c r="L26" s="4">
        <f>SUM(H26:K26)</f>
        <v>0</v>
      </c>
      <c r="M26" s="340"/>
      <c r="N26" s="4"/>
      <c r="O26" s="81"/>
      <c r="P26" s="36"/>
    </row>
    <row r="27" spans="1:16" ht="17.25" customHeight="1" x14ac:dyDescent="0.3">
      <c r="A27" s="249"/>
      <c r="B27" s="277"/>
      <c r="C27" s="267"/>
      <c r="D27" s="377"/>
      <c r="E27" s="267"/>
      <c r="F27" s="36"/>
      <c r="G27" s="36"/>
      <c r="H27" s="4"/>
      <c r="I27" s="4"/>
      <c r="J27" s="4"/>
      <c r="K27" s="4"/>
      <c r="L27" s="4">
        <f>SUM(H27:K27)</f>
        <v>0</v>
      </c>
      <c r="M27" s="340"/>
      <c r="N27" s="4"/>
      <c r="O27" s="80"/>
      <c r="P27" s="36"/>
    </row>
    <row r="28" spans="1:16" ht="17.25" customHeight="1" thickBot="1" x14ac:dyDescent="0.35">
      <c r="A28" s="249"/>
      <c r="B28" s="277"/>
      <c r="C28" s="267"/>
      <c r="D28" s="377"/>
      <c r="E28" s="267"/>
      <c r="F28" s="41"/>
      <c r="G28" s="41"/>
      <c r="H28" s="4"/>
      <c r="I28" s="4"/>
      <c r="J28" s="4"/>
      <c r="K28" s="4"/>
      <c r="L28" s="4">
        <f>SUM(H28:K28)</f>
        <v>0</v>
      </c>
      <c r="M28" s="340"/>
      <c r="N28" s="4"/>
      <c r="O28" s="93"/>
      <c r="P28" s="41"/>
    </row>
    <row r="29" spans="1:16" ht="17.25" customHeight="1" thickTop="1" thickBot="1" x14ac:dyDescent="0.35">
      <c r="A29" s="250"/>
      <c r="B29" s="278"/>
      <c r="C29" s="268"/>
      <c r="D29" s="378"/>
      <c r="E29" s="268"/>
      <c r="F29" s="251"/>
      <c r="G29" s="252"/>
      <c r="H29" s="56">
        <f>SUM(H24:H28)</f>
        <v>0</v>
      </c>
      <c r="I29" s="56">
        <f t="shared" ref="I29:L29" si="6">SUM(I24:I28)</f>
        <v>0</v>
      </c>
      <c r="J29" s="56">
        <f t="shared" si="6"/>
        <v>0</v>
      </c>
      <c r="K29" s="56">
        <f t="shared" si="6"/>
        <v>0</v>
      </c>
      <c r="L29" s="56">
        <f t="shared" si="6"/>
        <v>0</v>
      </c>
      <c r="M29" s="56"/>
      <c r="N29" s="56">
        <f>M24-L29</f>
        <v>0</v>
      </c>
      <c r="O29" s="111"/>
      <c r="P29" s="56">
        <f t="shared" ref="P29" si="7">SUM(P24:P28)</f>
        <v>0</v>
      </c>
    </row>
    <row r="30" spans="1:16" ht="17.25" customHeight="1" thickTop="1" x14ac:dyDescent="0.3">
      <c r="A30" s="260"/>
      <c r="B30" s="279"/>
      <c r="C30" s="280"/>
      <c r="D30" s="377"/>
      <c r="E30" s="375"/>
      <c r="F30" s="39"/>
      <c r="G30" s="40"/>
      <c r="H30" s="4"/>
      <c r="I30" s="4"/>
      <c r="J30" s="4"/>
      <c r="K30" s="4"/>
      <c r="L30" s="4">
        <f>SUM(H30:K30)</f>
        <v>0</v>
      </c>
      <c r="M30" s="340"/>
      <c r="N30" s="4"/>
      <c r="O30" s="94"/>
      <c r="P30" s="39"/>
    </row>
    <row r="31" spans="1:16" ht="17.25" customHeight="1" x14ac:dyDescent="0.3">
      <c r="A31" s="249"/>
      <c r="B31" s="277"/>
      <c r="C31" s="267"/>
      <c r="D31" s="377"/>
      <c r="E31" s="267"/>
      <c r="F31" s="31"/>
      <c r="G31" s="48"/>
      <c r="H31" s="4"/>
      <c r="I31" s="4"/>
      <c r="J31" s="4"/>
      <c r="K31" s="4"/>
      <c r="L31" s="4">
        <f>SUM(H31:K31)</f>
        <v>0</v>
      </c>
      <c r="M31" s="340"/>
      <c r="N31" s="4"/>
      <c r="O31" s="73"/>
      <c r="P31" s="36"/>
    </row>
    <row r="32" spans="1:16" ht="17.25" customHeight="1" x14ac:dyDescent="0.3">
      <c r="A32" s="249"/>
      <c r="B32" s="277"/>
      <c r="C32" s="267"/>
      <c r="D32" s="377"/>
      <c r="E32" s="267"/>
      <c r="F32" s="31"/>
      <c r="G32" s="37"/>
      <c r="H32" s="4"/>
      <c r="I32" s="4"/>
      <c r="J32" s="4"/>
      <c r="K32" s="4"/>
      <c r="L32" s="4">
        <f>SUM(H32:K32)</f>
        <v>0</v>
      </c>
      <c r="M32" s="340"/>
      <c r="N32" s="4"/>
      <c r="O32" s="81"/>
      <c r="P32" s="36"/>
    </row>
    <row r="33" spans="1:16" ht="17.25" customHeight="1" x14ac:dyDescent="0.3">
      <c r="A33" s="249"/>
      <c r="B33" s="277"/>
      <c r="C33" s="267"/>
      <c r="D33" s="377"/>
      <c r="E33" s="267"/>
      <c r="F33" s="36"/>
      <c r="G33" s="36"/>
      <c r="H33" s="4"/>
      <c r="I33" s="4"/>
      <c r="J33" s="4"/>
      <c r="K33" s="4"/>
      <c r="L33" s="4">
        <f>SUM(H33:K33)</f>
        <v>0</v>
      </c>
      <c r="M33" s="340"/>
      <c r="N33" s="4"/>
      <c r="O33" s="80"/>
      <c r="P33" s="36"/>
    </row>
    <row r="34" spans="1:16" ht="17.25" customHeight="1" thickBot="1" x14ac:dyDescent="0.35">
      <c r="A34" s="249"/>
      <c r="B34" s="277"/>
      <c r="C34" s="267"/>
      <c r="D34" s="377"/>
      <c r="E34" s="267"/>
      <c r="F34" s="41"/>
      <c r="G34" s="41"/>
      <c r="H34" s="4"/>
      <c r="I34" s="4"/>
      <c r="J34" s="4"/>
      <c r="K34" s="4"/>
      <c r="L34" s="4">
        <f>SUM(H34:K34)</f>
        <v>0</v>
      </c>
      <c r="M34" s="340"/>
      <c r="N34" s="4"/>
      <c r="O34" s="93"/>
      <c r="P34" s="41"/>
    </row>
    <row r="35" spans="1:16" ht="17.25" customHeight="1" thickTop="1" thickBot="1" x14ac:dyDescent="0.35">
      <c r="A35" s="250"/>
      <c r="B35" s="278"/>
      <c r="C35" s="268"/>
      <c r="D35" s="378"/>
      <c r="E35" s="268"/>
      <c r="F35" s="251"/>
      <c r="G35" s="252"/>
      <c r="H35" s="56">
        <f>SUM(H30:H34)</f>
        <v>0</v>
      </c>
      <c r="I35" s="56">
        <f t="shared" ref="I35:L35" si="8">SUM(I30:I34)</f>
        <v>0</v>
      </c>
      <c r="J35" s="56">
        <f t="shared" si="8"/>
        <v>0</v>
      </c>
      <c r="K35" s="56">
        <f t="shared" si="8"/>
        <v>0</v>
      </c>
      <c r="L35" s="56">
        <f t="shared" si="8"/>
        <v>0</v>
      </c>
      <c r="M35" s="56"/>
      <c r="N35" s="56">
        <f>M30-L35</f>
        <v>0</v>
      </c>
      <c r="O35" s="111"/>
      <c r="P35" s="56">
        <f t="shared" ref="P35" si="9">SUM(P30:P34)</f>
        <v>0</v>
      </c>
    </row>
    <row r="36" spans="1:16" ht="17.25" customHeight="1" thickTop="1" x14ac:dyDescent="0.3">
      <c r="A36" s="260"/>
      <c r="B36" s="279"/>
      <c r="C36" s="280"/>
      <c r="D36" s="377"/>
      <c r="E36" s="375"/>
      <c r="F36" s="39"/>
      <c r="G36" s="40"/>
      <c r="H36" s="4"/>
      <c r="I36" s="4"/>
      <c r="J36" s="4"/>
      <c r="K36" s="4"/>
      <c r="L36" s="4">
        <f>SUM(H36:K36)</f>
        <v>0</v>
      </c>
      <c r="M36" s="340"/>
      <c r="N36" s="4"/>
      <c r="O36" s="73"/>
      <c r="P36" s="39"/>
    </row>
    <row r="37" spans="1:16" ht="17.25" customHeight="1" x14ac:dyDescent="0.3">
      <c r="A37" s="249"/>
      <c r="B37" s="277"/>
      <c r="C37" s="267"/>
      <c r="D37" s="377"/>
      <c r="E37" s="267"/>
      <c r="F37" s="31"/>
      <c r="G37" s="48"/>
      <c r="H37" s="4"/>
      <c r="I37" s="4"/>
      <c r="J37" s="4"/>
      <c r="K37" s="4"/>
      <c r="L37" s="4">
        <f>SUM(H37:K37)</f>
        <v>0</v>
      </c>
      <c r="M37" s="340"/>
      <c r="N37" s="4"/>
      <c r="O37" s="123"/>
      <c r="P37" s="36"/>
    </row>
    <row r="38" spans="1:16" ht="17.25" customHeight="1" x14ac:dyDescent="0.3">
      <c r="A38" s="249"/>
      <c r="B38" s="277"/>
      <c r="C38" s="267"/>
      <c r="D38" s="377"/>
      <c r="E38" s="267"/>
      <c r="F38" s="31"/>
      <c r="G38" s="37"/>
      <c r="H38" s="4"/>
      <c r="I38" s="4"/>
      <c r="J38" s="4"/>
      <c r="K38" s="4"/>
      <c r="L38" s="4">
        <f>SUM(H38:K38)</f>
        <v>0</v>
      </c>
      <c r="M38" s="340"/>
      <c r="N38" s="4"/>
      <c r="O38" s="81"/>
      <c r="P38" s="36"/>
    </row>
    <row r="39" spans="1:16" ht="17.25" customHeight="1" x14ac:dyDescent="0.3">
      <c r="A39" s="249"/>
      <c r="B39" s="277"/>
      <c r="C39" s="267"/>
      <c r="D39" s="377"/>
      <c r="E39" s="267"/>
      <c r="F39" s="36"/>
      <c r="G39" s="36"/>
      <c r="H39" s="4"/>
      <c r="I39" s="4"/>
      <c r="J39" s="4"/>
      <c r="K39" s="4"/>
      <c r="L39" s="4">
        <f>SUM(H39:K39)</f>
        <v>0</v>
      </c>
      <c r="M39" s="340"/>
      <c r="N39" s="4"/>
      <c r="O39" s="80"/>
      <c r="P39" s="36"/>
    </row>
    <row r="40" spans="1:16" ht="17.25" customHeight="1" thickBot="1" x14ac:dyDescent="0.35">
      <c r="A40" s="249"/>
      <c r="B40" s="277"/>
      <c r="C40" s="267"/>
      <c r="D40" s="377"/>
      <c r="E40" s="267"/>
      <c r="F40" s="41"/>
      <c r="G40" s="41"/>
      <c r="H40" s="4"/>
      <c r="I40" s="4"/>
      <c r="J40" s="4"/>
      <c r="K40" s="4"/>
      <c r="L40" s="4">
        <f>SUM(H40:K40)</f>
        <v>0</v>
      </c>
      <c r="M40" s="340"/>
      <c r="N40" s="4"/>
      <c r="O40" s="93"/>
      <c r="P40" s="41"/>
    </row>
    <row r="41" spans="1:16" ht="17.25" customHeight="1" thickTop="1" thickBot="1" x14ac:dyDescent="0.35">
      <c r="A41" s="250"/>
      <c r="B41" s="278"/>
      <c r="C41" s="268"/>
      <c r="D41" s="378"/>
      <c r="E41" s="268"/>
      <c r="F41" s="251"/>
      <c r="G41" s="252"/>
      <c r="H41" s="56">
        <f>SUM(H36:H40)</f>
        <v>0</v>
      </c>
      <c r="I41" s="56">
        <f t="shared" ref="I41:L41" si="10">SUM(I36:I40)</f>
        <v>0</v>
      </c>
      <c r="J41" s="56">
        <f t="shared" si="10"/>
        <v>0</v>
      </c>
      <c r="K41" s="56">
        <f t="shared" si="10"/>
        <v>0</v>
      </c>
      <c r="L41" s="56">
        <f t="shared" si="10"/>
        <v>0</v>
      </c>
      <c r="M41" s="56"/>
      <c r="N41" s="56">
        <f>M36-L41</f>
        <v>0</v>
      </c>
      <c r="O41" s="153"/>
      <c r="P41" s="56">
        <f t="shared" ref="P41" si="11">SUM(P36:P40)</f>
        <v>0</v>
      </c>
    </row>
    <row r="42" spans="1:16" ht="17.25" customHeight="1" thickTop="1" x14ac:dyDescent="0.3">
      <c r="A42" s="260"/>
      <c r="B42" s="279"/>
      <c r="C42" s="280"/>
      <c r="D42" s="377"/>
      <c r="E42" s="375"/>
      <c r="F42" s="39"/>
      <c r="G42" s="40"/>
      <c r="H42" s="4"/>
      <c r="I42" s="4"/>
      <c r="J42" s="4"/>
      <c r="K42" s="4"/>
      <c r="L42" s="4">
        <f>SUM(H42:K42)</f>
        <v>0</v>
      </c>
      <c r="M42" s="340"/>
      <c r="N42" s="4"/>
      <c r="O42" s="73"/>
      <c r="P42" s="39"/>
    </row>
    <row r="43" spans="1:16" ht="17.25" customHeight="1" x14ac:dyDescent="0.3">
      <c r="A43" s="249"/>
      <c r="B43" s="277"/>
      <c r="C43" s="267"/>
      <c r="D43" s="377"/>
      <c r="E43" s="267"/>
      <c r="F43" s="31"/>
      <c r="G43" s="48"/>
      <c r="H43" s="4"/>
      <c r="I43" s="4"/>
      <c r="J43" s="4"/>
      <c r="K43" s="4"/>
      <c r="L43" s="4">
        <f>SUM(H43:K43)</f>
        <v>0</v>
      </c>
      <c r="M43" s="340"/>
      <c r="N43" s="4"/>
      <c r="O43" s="123"/>
      <c r="P43" s="36"/>
    </row>
    <row r="44" spans="1:16" ht="17.25" customHeight="1" x14ac:dyDescent="0.3">
      <c r="A44" s="249"/>
      <c r="B44" s="277"/>
      <c r="C44" s="267"/>
      <c r="D44" s="377"/>
      <c r="E44" s="267"/>
      <c r="F44" s="31"/>
      <c r="G44" s="37"/>
      <c r="H44" s="4"/>
      <c r="I44" s="4"/>
      <c r="J44" s="4"/>
      <c r="K44" s="4"/>
      <c r="L44" s="4">
        <f>SUM(H44:K44)</f>
        <v>0</v>
      </c>
      <c r="M44" s="340"/>
      <c r="N44" s="4"/>
      <c r="O44" s="81"/>
      <c r="P44" s="36"/>
    </row>
    <row r="45" spans="1:16" ht="17.25" customHeight="1" x14ac:dyDescent="0.3">
      <c r="A45" s="249"/>
      <c r="B45" s="277"/>
      <c r="C45" s="267"/>
      <c r="D45" s="377"/>
      <c r="E45" s="267"/>
      <c r="F45" s="36"/>
      <c r="G45" s="36"/>
      <c r="H45" s="4"/>
      <c r="I45" s="4"/>
      <c r="J45" s="4"/>
      <c r="K45" s="4"/>
      <c r="L45" s="4">
        <f>SUM(H45:K45)</f>
        <v>0</v>
      </c>
      <c r="M45" s="340"/>
      <c r="N45" s="4"/>
      <c r="O45" s="80"/>
      <c r="P45" s="36"/>
    </row>
    <row r="46" spans="1:16" ht="17.25" customHeight="1" thickBot="1" x14ac:dyDescent="0.35">
      <c r="A46" s="249"/>
      <c r="B46" s="277"/>
      <c r="C46" s="267"/>
      <c r="D46" s="377"/>
      <c r="E46" s="267"/>
      <c r="F46" s="41"/>
      <c r="G46" s="41"/>
      <c r="H46" s="4"/>
      <c r="I46" s="4"/>
      <c r="J46" s="4"/>
      <c r="K46" s="4"/>
      <c r="L46" s="4">
        <f>SUM(H46:K46)</f>
        <v>0</v>
      </c>
      <c r="M46" s="340"/>
      <c r="N46" s="4"/>
      <c r="O46" s="93"/>
      <c r="P46" s="41"/>
    </row>
    <row r="47" spans="1:16" ht="17.25" customHeight="1" thickTop="1" thickBot="1" x14ac:dyDescent="0.35">
      <c r="A47" s="250"/>
      <c r="B47" s="278"/>
      <c r="C47" s="268"/>
      <c r="D47" s="378"/>
      <c r="E47" s="268"/>
      <c r="F47" s="251"/>
      <c r="G47" s="252"/>
      <c r="H47" s="56">
        <f>SUM(H42:H46)</f>
        <v>0</v>
      </c>
      <c r="I47" s="56">
        <f t="shared" ref="I47:L47" si="12">SUM(I42:I46)</f>
        <v>0</v>
      </c>
      <c r="J47" s="56">
        <f t="shared" si="12"/>
        <v>0</v>
      </c>
      <c r="K47" s="56">
        <f t="shared" si="12"/>
        <v>0</v>
      </c>
      <c r="L47" s="56">
        <f t="shared" si="12"/>
        <v>0</v>
      </c>
      <c r="M47" s="56"/>
      <c r="N47" s="56">
        <f>M42-L47</f>
        <v>0</v>
      </c>
      <c r="O47" s="153"/>
      <c r="P47" s="56">
        <f t="shared" ref="P47" si="13">SUM(P42:P46)</f>
        <v>0</v>
      </c>
    </row>
    <row r="48" spans="1:16" ht="17.25" customHeight="1" thickTop="1" x14ac:dyDescent="0.3">
      <c r="A48" s="64"/>
      <c r="B48" s="115"/>
      <c r="C48" s="69"/>
      <c r="D48" s="155"/>
      <c r="E48" s="70"/>
      <c r="F48" s="66"/>
      <c r="G48" s="67"/>
      <c r="H48" s="68"/>
      <c r="I48" s="68"/>
      <c r="J48" s="68"/>
      <c r="K48" s="68"/>
      <c r="L48" s="68"/>
      <c r="M48" s="68"/>
      <c r="N48" s="68"/>
      <c r="O48" s="92"/>
      <c r="P48" s="68"/>
    </row>
    <row r="49" spans="1:16" ht="17.25" customHeight="1" x14ac:dyDescent="0.3">
      <c r="A49" s="372" t="s">
        <v>15</v>
      </c>
      <c r="B49" s="373"/>
      <c r="C49" s="373"/>
      <c r="D49" s="373"/>
      <c r="E49" s="373"/>
      <c r="F49" s="373"/>
      <c r="G49" s="374"/>
      <c r="H49" s="2">
        <f t="shared" ref="H49:K49" si="14">+H29+H23+H17+H11+H35+H41+H47</f>
        <v>1500</v>
      </c>
      <c r="I49" s="2">
        <f t="shared" si="14"/>
        <v>15500</v>
      </c>
      <c r="J49" s="2">
        <f t="shared" si="14"/>
        <v>9000</v>
      </c>
      <c r="K49" s="2">
        <f t="shared" si="14"/>
        <v>0</v>
      </c>
      <c r="L49" s="2">
        <f>+L29+L23+L17+L11+L35+L41+L47</f>
        <v>26000</v>
      </c>
      <c r="M49" s="2">
        <f>+M24+M18+M12+M6+M30+M36+M42</f>
        <v>43500</v>
      </c>
      <c r="N49" s="2">
        <f>+N29+N23+N17+N11+N35+N41+N47</f>
        <v>17500</v>
      </c>
      <c r="O49" s="83"/>
      <c r="P49" s="2">
        <f t="shared" ref="P49" si="15">+P29+P23+P17+P11+P35+P41</f>
        <v>1500</v>
      </c>
    </row>
    <row r="52" spans="1:16" x14ac:dyDescent="0.3">
      <c r="C52" t="s">
        <v>34</v>
      </c>
      <c r="D52">
        <v>4</v>
      </c>
    </row>
    <row r="53" spans="1:16" x14ac:dyDescent="0.3">
      <c r="C53" t="s">
        <v>51</v>
      </c>
      <c r="D53">
        <v>1</v>
      </c>
    </row>
    <row r="54" spans="1:16" x14ac:dyDescent="0.3">
      <c r="C54" t="s">
        <v>52</v>
      </c>
      <c r="D54">
        <v>2</v>
      </c>
    </row>
    <row r="55" spans="1:16" ht="18" x14ac:dyDescent="0.35">
      <c r="D55" s="158">
        <f>+D54+D53+D52</f>
        <v>7</v>
      </c>
    </row>
  </sheetData>
  <mergeCells count="54">
    <mergeCell ref="M42:M46"/>
    <mergeCell ref="F47:G47"/>
    <mergeCell ref="A42:A47"/>
    <mergeCell ref="B42:B47"/>
    <mergeCell ref="C42:C47"/>
    <mergeCell ref="D42:D47"/>
    <mergeCell ref="E42:E47"/>
    <mergeCell ref="C30:C35"/>
    <mergeCell ref="D30:D35"/>
    <mergeCell ref="A30:A35"/>
    <mergeCell ref="E30:E35"/>
    <mergeCell ref="M30:M34"/>
    <mergeCell ref="F35:G35"/>
    <mergeCell ref="A49:G49"/>
    <mergeCell ref="M24:M28"/>
    <mergeCell ref="F29:G29"/>
    <mergeCell ref="A18:A23"/>
    <mergeCell ref="B18:B23"/>
    <mergeCell ref="C18:C23"/>
    <mergeCell ref="D18:D23"/>
    <mergeCell ref="E18:E23"/>
    <mergeCell ref="M18:M22"/>
    <mergeCell ref="F23:G23"/>
    <mergeCell ref="A24:A29"/>
    <mergeCell ref="B24:B29"/>
    <mergeCell ref="C24:C29"/>
    <mergeCell ref="D24:D29"/>
    <mergeCell ref="E24:E29"/>
    <mergeCell ref="B30:B35"/>
    <mergeCell ref="F17:G17"/>
    <mergeCell ref="A6:A11"/>
    <mergeCell ref="B6:B11"/>
    <mergeCell ref="C6:C11"/>
    <mergeCell ref="D6:D11"/>
    <mergeCell ref="E6:E11"/>
    <mergeCell ref="F11:G11"/>
    <mergeCell ref="A12:A17"/>
    <mergeCell ref="B12:B17"/>
    <mergeCell ref="C12:C17"/>
    <mergeCell ref="D12:D17"/>
    <mergeCell ref="E12:E17"/>
    <mergeCell ref="M12:M16"/>
    <mergeCell ref="M6:M10"/>
    <mergeCell ref="A1:P1"/>
    <mergeCell ref="A2:P2"/>
    <mergeCell ref="A3:P3"/>
    <mergeCell ref="A4:P4"/>
    <mergeCell ref="M36:M40"/>
    <mergeCell ref="F41:G41"/>
    <mergeCell ref="A36:A41"/>
    <mergeCell ref="B36:B41"/>
    <mergeCell ref="C36:C41"/>
    <mergeCell ref="D36:D41"/>
    <mergeCell ref="E36:E41"/>
  </mergeCells>
  <pageMargins left="0.16" right="0" top="0.23622047244094491" bottom="0.23622047244094491" header="0.31496062992125984" footer="0.31496062992125984"/>
  <pageSetup paperSize="9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09"/>
  <sheetViews>
    <sheetView workbookViewId="0">
      <pane xSplit="5" ySplit="5" topLeftCell="F97" activePane="bottomRight" state="frozen"/>
      <selection activeCell="D74" sqref="D74:E74"/>
      <selection pane="topRight" activeCell="D74" sqref="D74:E74"/>
      <selection pane="bottomLeft" activeCell="D74" sqref="D74:E74"/>
      <selection pane="bottomRight" activeCell="M110" sqref="M110"/>
    </sheetView>
  </sheetViews>
  <sheetFormatPr defaultRowHeight="14.4" x14ac:dyDescent="0.3"/>
  <cols>
    <col min="1" max="1" width="3.5546875" customWidth="1"/>
    <col min="2" max="2" width="27.5546875" customWidth="1"/>
    <col min="3" max="3" width="6.6640625" customWidth="1"/>
    <col min="4" max="4" width="8" customWidth="1"/>
    <col min="5" max="5" width="10.6640625" customWidth="1"/>
    <col min="6" max="6" width="7.5546875" customWidth="1"/>
    <col min="7" max="7" width="10.109375" customWidth="1"/>
    <col min="8" max="8" width="8.88671875" customWidth="1"/>
    <col min="9" max="9" width="8.5546875" customWidth="1"/>
    <col min="10" max="10" width="10" customWidth="1"/>
    <col min="11" max="11" width="7.5546875" customWidth="1"/>
    <col min="12" max="12" width="10.109375" customWidth="1"/>
    <col min="13" max="13" width="11.109375" customWidth="1"/>
    <col min="14" max="14" width="12.109375" customWidth="1"/>
    <col min="15" max="15" width="16" style="84" customWidth="1"/>
    <col min="16" max="16" width="8.88671875" customWidth="1"/>
  </cols>
  <sheetData>
    <row r="1" spans="1:18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 spans="1:18" ht="24.6" x14ac:dyDescent="0.4">
      <c r="A2" s="342" t="s">
        <v>11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</row>
    <row r="3" spans="1:18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</row>
    <row r="4" spans="1:18" ht="25.2" x14ac:dyDescent="0.45">
      <c r="A4" s="320" t="s">
        <v>435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</row>
    <row r="5" spans="1:18" ht="43.5" customHeight="1" x14ac:dyDescent="0.3">
      <c r="A5" s="140" t="s">
        <v>0</v>
      </c>
      <c r="B5" s="141" t="s">
        <v>13</v>
      </c>
      <c r="C5" s="63" t="s">
        <v>14</v>
      </c>
      <c r="D5" s="142" t="s">
        <v>1</v>
      </c>
      <c r="E5" s="63" t="s">
        <v>2</v>
      </c>
      <c r="F5" s="63" t="s">
        <v>8</v>
      </c>
      <c r="G5" s="63" t="s">
        <v>9</v>
      </c>
      <c r="H5" s="63" t="s">
        <v>46</v>
      </c>
      <c r="I5" s="63" t="s">
        <v>3</v>
      </c>
      <c r="J5" s="63" t="s">
        <v>4</v>
      </c>
      <c r="K5" s="63" t="s">
        <v>5</v>
      </c>
      <c r="L5" s="63" t="s">
        <v>15</v>
      </c>
      <c r="M5" s="63" t="s">
        <v>49</v>
      </c>
      <c r="N5" s="63" t="s">
        <v>6</v>
      </c>
      <c r="O5" s="143" t="s">
        <v>7</v>
      </c>
      <c r="P5" s="63" t="s">
        <v>44</v>
      </c>
    </row>
    <row r="6" spans="1:18" x14ac:dyDescent="0.3">
      <c r="A6" s="340">
        <v>1</v>
      </c>
      <c r="B6" s="254" t="s">
        <v>466</v>
      </c>
      <c r="C6" s="351" t="s">
        <v>467</v>
      </c>
      <c r="D6" s="339" t="s">
        <v>468</v>
      </c>
      <c r="E6" s="357" t="s">
        <v>469</v>
      </c>
      <c r="F6" s="4">
        <v>6813</v>
      </c>
      <c r="G6" s="5" t="s">
        <v>424</v>
      </c>
      <c r="H6" s="4">
        <v>500</v>
      </c>
      <c r="I6" s="4">
        <v>6500</v>
      </c>
      <c r="J6" s="4">
        <v>3000</v>
      </c>
      <c r="K6" s="4"/>
      <c r="L6" s="4">
        <f>SUM(H6:K6)</f>
        <v>10000</v>
      </c>
      <c r="M6" s="340">
        <v>17500</v>
      </c>
      <c r="N6" s="4"/>
      <c r="O6" s="86" t="s">
        <v>295</v>
      </c>
      <c r="P6" s="4"/>
    </row>
    <row r="7" spans="1:18" x14ac:dyDescent="0.3">
      <c r="A7" s="340"/>
      <c r="B7" s="254"/>
      <c r="C7" s="351"/>
      <c r="D7" s="339"/>
      <c r="E7" s="351"/>
      <c r="F7" s="4"/>
      <c r="G7" s="4"/>
      <c r="H7" s="4"/>
      <c r="I7" s="4"/>
      <c r="J7" s="4"/>
      <c r="K7" s="4"/>
      <c r="L7" s="4">
        <f>SUM(H7:K7)</f>
        <v>0</v>
      </c>
      <c r="M7" s="340"/>
      <c r="N7" s="4"/>
      <c r="O7" s="71"/>
      <c r="P7" s="4"/>
    </row>
    <row r="8" spans="1:18" x14ac:dyDescent="0.3">
      <c r="A8" s="340"/>
      <c r="B8" s="254"/>
      <c r="C8" s="351"/>
      <c r="D8" s="339"/>
      <c r="E8" s="351"/>
      <c r="F8" s="16"/>
      <c r="G8" s="4"/>
      <c r="H8" s="4"/>
      <c r="I8" s="4"/>
      <c r="J8" s="4"/>
      <c r="K8" s="4"/>
      <c r="L8" s="4">
        <f>SUM(H8:K8)</f>
        <v>0</v>
      </c>
      <c r="M8" s="340"/>
      <c r="N8" s="4"/>
      <c r="O8" s="78"/>
      <c r="P8" s="4"/>
    </row>
    <row r="9" spans="1:18" x14ac:dyDescent="0.3">
      <c r="A9" s="340"/>
      <c r="B9" s="254"/>
      <c r="C9" s="351"/>
      <c r="D9" s="339"/>
      <c r="E9" s="351"/>
      <c r="F9" s="4"/>
      <c r="G9" s="4"/>
      <c r="H9" s="4"/>
      <c r="I9" s="4"/>
      <c r="J9" s="4"/>
      <c r="K9" s="4"/>
      <c r="L9" s="4">
        <f>SUM(H9:K9)</f>
        <v>0</v>
      </c>
      <c r="M9" s="340"/>
      <c r="N9" s="4"/>
      <c r="O9" s="71"/>
      <c r="P9" s="4"/>
    </row>
    <row r="10" spans="1:18" x14ac:dyDescent="0.3">
      <c r="A10" s="340"/>
      <c r="B10" s="254"/>
      <c r="C10" s="351"/>
      <c r="D10" s="339"/>
      <c r="E10" s="351"/>
      <c r="F10" s="4"/>
      <c r="G10" s="4"/>
      <c r="H10" s="4"/>
      <c r="I10" s="4"/>
      <c r="J10" s="4"/>
      <c r="K10" s="4"/>
      <c r="L10" s="4">
        <f>SUM(H10:K10)</f>
        <v>0</v>
      </c>
      <c r="M10" s="340"/>
      <c r="N10" s="4"/>
      <c r="O10" s="71"/>
      <c r="P10" s="4"/>
    </row>
    <row r="11" spans="1:18" ht="15" thickBot="1" x14ac:dyDescent="0.35">
      <c r="A11" s="340"/>
      <c r="B11" s="255"/>
      <c r="C11" s="351"/>
      <c r="D11" s="339"/>
      <c r="E11" s="351"/>
      <c r="F11" s="350"/>
      <c r="G11" s="350"/>
      <c r="H11" s="56">
        <f>SUM(H6:H10)</f>
        <v>500</v>
      </c>
      <c r="I11" s="56">
        <f t="shared" ref="I11:L11" si="0">SUM(I6:I10)</f>
        <v>6500</v>
      </c>
      <c r="J11" s="56">
        <f t="shared" si="0"/>
        <v>3000</v>
      </c>
      <c r="K11" s="56">
        <f t="shared" si="0"/>
        <v>0</v>
      </c>
      <c r="L11" s="56">
        <f t="shared" si="0"/>
        <v>10000</v>
      </c>
      <c r="M11" s="56"/>
      <c r="N11" s="56">
        <f>M6-L11</f>
        <v>7500</v>
      </c>
      <c r="O11" s="101"/>
      <c r="P11" s="56"/>
      <c r="R11">
        <f>1450*3</f>
        <v>4350</v>
      </c>
    </row>
    <row r="12" spans="1:18" ht="16.5" customHeight="1" thickTop="1" x14ac:dyDescent="0.3">
      <c r="A12" s="340">
        <v>2</v>
      </c>
      <c r="B12" s="253" t="s">
        <v>470</v>
      </c>
      <c r="C12" s="351" t="s">
        <v>467</v>
      </c>
      <c r="D12" s="339" t="s">
        <v>468</v>
      </c>
      <c r="E12" s="357" t="s">
        <v>456</v>
      </c>
      <c r="F12" s="4">
        <v>6814</v>
      </c>
      <c r="G12" s="5" t="s">
        <v>424</v>
      </c>
      <c r="H12" s="4">
        <v>500</v>
      </c>
      <c r="I12" s="4">
        <v>6500</v>
      </c>
      <c r="J12" s="4">
        <v>3000</v>
      </c>
      <c r="K12" s="4"/>
      <c r="L12" s="4">
        <f>SUM(H12:K12)</f>
        <v>10000</v>
      </c>
      <c r="M12" s="340">
        <v>17500</v>
      </c>
      <c r="N12" s="4"/>
      <c r="O12" s="72" t="s">
        <v>295</v>
      </c>
      <c r="P12" s="4"/>
    </row>
    <row r="13" spans="1:18" ht="16.5" customHeight="1" x14ac:dyDescent="0.3">
      <c r="A13" s="340"/>
      <c r="B13" s="254"/>
      <c r="C13" s="351"/>
      <c r="D13" s="339"/>
      <c r="E13" s="351"/>
      <c r="F13" s="16"/>
      <c r="G13" s="4"/>
      <c r="H13" s="4"/>
      <c r="I13" s="4"/>
      <c r="J13" s="4"/>
      <c r="K13" s="4"/>
      <c r="L13" s="4">
        <f>SUM(H13:K13)</f>
        <v>0</v>
      </c>
      <c r="M13" s="340"/>
      <c r="N13" s="4"/>
      <c r="O13" s="72"/>
      <c r="P13" s="4"/>
    </row>
    <row r="14" spans="1:18" ht="16.5" customHeight="1" x14ac:dyDescent="0.3">
      <c r="A14" s="340"/>
      <c r="B14" s="254"/>
      <c r="C14" s="351"/>
      <c r="D14" s="339"/>
      <c r="E14" s="351"/>
      <c r="F14" s="4"/>
      <c r="G14" s="4"/>
      <c r="H14" s="4"/>
      <c r="I14" s="4"/>
      <c r="J14" s="4"/>
      <c r="K14" s="4"/>
      <c r="L14" s="4">
        <f>SUM(H14:K14)</f>
        <v>0</v>
      </c>
      <c r="M14" s="340"/>
      <c r="N14" s="4"/>
      <c r="O14" s="71"/>
      <c r="P14" s="4"/>
    </row>
    <row r="15" spans="1:18" ht="16.5" customHeight="1" x14ac:dyDescent="0.3">
      <c r="A15" s="340"/>
      <c r="B15" s="254"/>
      <c r="C15" s="351"/>
      <c r="D15" s="339"/>
      <c r="E15" s="351"/>
      <c r="F15" s="4"/>
      <c r="G15" s="4"/>
      <c r="H15" s="4"/>
      <c r="I15" s="4"/>
      <c r="J15" s="4"/>
      <c r="K15" s="4"/>
      <c r="L15" s="4">
        <f>SUM(H15:K15)</f>
        <v>0</v>
      </c>
      <c r="M15" s="340"/>
      <c r="N15" s="4"/>
      <c r="O15" s="71"/>
      <c r="P15" s="4"/>
    </row>
    <row r="16" spans="1:18" ht="16.5" customHeight="1" x14ac:dyDescent="0.3">
      <c r="A16" s="340"/>
      <c r="B16" s="254"/>
      <c r="C16" s="351"/>
      <c r="D16" s="339"/>
      <c r="E16" s="351"/>
      <c r="F16" s="4"/>
      <c r="G16" s="4"/>
      <c r="H16" s="4"/>
      <c r="I16" s="4"/>
      <c r="J16" s="4"/>
      <c r="K16" s="4"/>
      <c r="L16" s="4">
        <f>SUM(H16:K16)</f>
        <v>0</v>
      </c>
      <c r="M16" s="340"/>
      <c r="N16" s="4"/>
      <c r="O16" s="78"/>
      <c r="P16" s="4"/>
    </row>
    <row r="17" spans="1:17" ht="16.5" customHeight="1" thickBot="1" x14ac:dyDescent="0.35">
      <c r="A17" s="340"/>
      <c r="B17" s="255"/>
      <c r="C17" s="351"/>
      <c r="D17" s="339"/>
      <c r="E17" s="351"/>
      <c r="F17" s="350"/>
      <c r="G17" s="350"/>
      <c r="H17" s="56">
        <f>SUM(H12:H16)</f>
        <v>500</v>
      </c>
      <c r="I17" s="56">
        <f t="shared" ref="I17:L17" si="1">SUM(I12:I16)</f>
        <v>6500</v>
      </c>
      <c r="J17" s="56">
        <f t="shared" si="1"/>
        <v>3000</v>
      </c>
      <c r="K17" s="56">
        <f t="shared" si="1"/>
        <v>0</v>
      </c>
      <c r="L17" s="56">
        <f t="shared" si="1"/>
        <v>10000</v>
      </c>
      <c r="M17" s="56"/>
      <c r="N17" s="56">
        <f>M12-L17</f>
        <v>7500</v>
      </c>
      <c r="O17" s="101"/>
      <c r="P17" s="56"/>
    </row>
    <row r="18" spans="1:17" ht="15.75" customHeight="1" thickTop="1" x14ac:dyDescent="0.3">
      <c r="A18" s="356">
        <v>3</v>
      </c>
      <c r="B18" s="261" t="s">
        <v>583</v>
      </c>
      <c r="C18" s="280" t="s">
        <v>450</v>
      </c>
      <c r="D18" s="377" t="s">
        <v>585</v>
      </c>
      <c r="E18" s="375" t="s">
        <v>586</v>
      </c>
      <c r="F18" s="36">
        <v>6837</v>
      </c>
      <c r="G18" s="37" t="s">
        <v>485</v>
      </c>
      <c r="H18" s="36">
        <v>500</v>
      </c>
      <c r="I18" s="36">
        <v>3500</v>
      </c>
      <c r="J18" s="36">
        <v>3000</v>
      </c>
      <c r="K18" s="36"/>
      <c r="L18" s="36">
        <f>SUM(H18:K18)</f>
        <v>7000</v>
      </c>
      <c r="M18" s="356">
        <v>17500</v>
      </c>
      <c r="N18" s="36"/>
      <c r="O18" s="73" t="s">
        <v>295</v>
      </c>
      <c r="P18" s="36"/>
    </row>
    <row r="19" spans="1:17" ht="15.75" customHeight="1" x14ac:dyDescent="0.3">
      <c r="A19" s="356"/>
      <c r="B19" s="262"/>
      <c r="C19" s="267"/>
      <c r="D19" s="377"/>
      <c r="E19" s="267"/>
      <c r="F19" s="31">
        <v>6903</v>
      </c>
      <c r="G19" s="36" t="s">
        <v>511</v>
      </c>
      <c r="H19" s="36"/>
      <c r="I19" s="36">
        <v>10500</v>
      </c>
      <c r="J19" s="36"/>
      <c r="K19" s="36"/>
      <c r="L19" s="36">
        <f>SUM(H19:K19)</f>
        <v>10500</v>
      </c>
      <c r="M19" s="356"/>
      <c r="N19" s="36"/>
      <c r="O19" s="73"/>
      <c r="P19" s="36"/>
    </row>
    <row r="20" spans="1:17" ht="15.75" customHeight="1" x14ac:dyDescent="0.3">
      <c r="A20" s="356"/>
      <c r="B20" s="262"/>
      <c r="C20" s="267"/>
      <c r="D20" s="377"/>
      <c r="E20" s="267"/>
      <c r="F20" s="36"/>
      <c r="G20" s="36"/>
      <c r="H20" s="36"/>
      <c r="I20" s="36"/>
      <c r="J20" s="36"/>
      <c r="K20" s="36"/>
      <c r="L20" s="36">
        <f>SUM(H20:K20)</f>
        <v>0</v>
      </c>
      <c r="M20" s="356"/>
      <c r="N20" s="36"/>
      <c r="O20" s="81"/>
      <c r="P20" s="36"/>
    </row>
    <row r="21" spans="1:17" ht="15.75" customHeight="1" x14ac:dyDescent="0.3">
      <c r="A21" s="356"/>
      <c r="B21" s="262"/>
      <c r="C21" s="267"/>
      <c r="D21" s="377"/>
      <c r="E21" s="267"/>
      <c r="F21" s="36"/>
      <c r="G21" s="36"/>
      <c r="H21" s="36"/>
      <c r="I21" s="36"/>
      <c r="J21" s="36"/>
      <c r="K21" s="36"/>
      <c r="L21" s="36">
        <f>SUM(H21:K21)</f>
        <v>0</v>
      </c>
      <c r="M21" s="356"/>
      <c r="N21" s="36"/>
      <c r="O21" s="73"/>
      <c r="P21" s="36"/>
    </row>
    <row r="22" spans="1:17" ht="15.75" customHeight="1" x14ac:dyDescent="0.3">
      <c r="A22" s="356"/>
      <c r="B22" s="262"/>
      <c r="C22" s="267"/>
      <c r="D22" s="377"/>
      <c r="E22" s="267"/>
      <c r="F22" s="36"/>
      <c r="G22" s="36"/>
      <c r="H22" s="36"/>
      <c r="I22" s="36"/>
      <c r="J22" s="36"/>
      <c r="K22" s="36"/>
      <c r="L22" s="36">
        <f>SUM(H22:K22)</f>
        <v>0</v>
      </c>
      <c r="M22" s="356"/>
      <c r="N22" s="36"/>
      <c r="O22" s="73"/>
      <c r="P22" s="36"/>
    </row>
    <row r="23" spans="1:17" ht="15.75" customHeight="1" thickBot="1" x14ac:dyDescent="0.35">
      <c r="A23" s="356"/>
      <c r="B23" s="263"/>
      <c r="C23" s="268"/>
      <c r="D23" s="378"/>
      <c r="E23" s="268"/>
      <c r="F23" s="332"/>
      <c r="G23" s="332"/>
      <c r="H23" s="57">
        <f>SUM(H18:H22)</f>
        <v>500</v>
      </c>
      <c r="I23" s="57">
        <f t="shared" ref="I23:L23" si="2">SUM(I18:I22)</f>
        <v>14000</v>
      </c>
      <c r="J23" s="57">
        <f t="shared" si="2"/>
        <v>3000</v>
      </c>
      <c r="K23" s="57">
        <f t="shared" si="2"/>
        <v>0</v>
      </c>
      <c r="L23" s="57">
        <f t="shared" si="2"/>
        <v>17500</v>
      </c>
      <c r="M23" s="57"/>
      <c r="N23" s="57">
        <f>M18-L23</f>
        <v>0</v>
      </c>
      <c r="O23" s="145"/>
      <c r="P23" s="57"/>
    </row>
    <row r="24" spans="1:17" ht="15.75" customHeight="1" thickTop="1" x14ac:dyDescent="0.3">
      <c r="A24" s="340">
        <v>4</v>
      </c>
      <c r="B24" s="254" t="s">
        <v>589</v>
      </c>
      <c r="C24" s="257" t="s">
        <v>590</v>
      </c>
      <c r="D24" s="381" t="s">
        <v>25</v>
      </c>
      <c r="E24" s="270" t="s">
        <v>591</v>
      </c>
      <c r="F24" s="4">
        <v>6889</v>
      </c>
      <c r="G24" s="5" t="s">
        <v>592</v>
      </c>
      <c r="H24" s="4">
        <v>500</v>
      </c>
      <c r="I24" s="4">
        <v>6500</v>
      </c>
      <c r="J24" s="4">
        <v>3000</v>
      </c>
      <c r="K24" s="4"/>
      <c r="L24" s="4">
        <f>SUM(H24:K24)</f>
        <v>10000</v>
      </c>
      <c r="M24" s="340">
        <v>17500</v>
      </c>
      <c r="N24" s="4"/>
      <c r="O24" s="71" t="s">
        <v>295</v>
      </c>
      <c r="P24" s="4"/>
    </row>
    <row r="25" spans="1:17" ht="15.75" customHeight="1" x14ac:dyDescent="0.3">
      <c r="A25" s="340"/>
      <c r="B25" s="254"/>
      <c r="C25" s="257"/>
      <c r="D25" s="381"/>
      <c r="E25" s="257"/>
      <c r="F25" s="4"/>
      <c r="G25" s="4"/>
      <c r="H25" s="4"/>
      <c r="I25" s="4"/>
      <c r="J25" s="4"/>
      <c r="K25" s="4"/>
      <c r="L25" s="4">
        <f>SUM(H25:K25)</f>
        <v>0</v>
      </c>
      <c r="M25" s="340"/>
      <c r="N25" s="4"/>
      <c r="O25" s="71"/>
      <c r="P25" s="4"/>
    </row>
    <row r="26" spans="1:17" ht="15.75" customHeight="1" x14ac:dyDescent="0.3">
      <c r="A26" s="340"/>
      <c r="B26" s="254"/>
      <c r="C26" s="257"/>
      <c r="D26" s="381"/>
      <c r="E26" s="257"/>
      <c r="F26" s="4"/>
      <c r="G26" s="4"/>
      <c r="H26" s="4"/>
      <c r="I26" s="4"/>
      <c r="J26" s="4"/>
      <c r="K26" s="4"/>
      <c r="L26" s="4">
        <f>SUM(H26:K26)</f>
        <v>0</v>
      </c>
      <c r="M26" s="340"/>
      <c r="N26" s="4"/>
      <c r="O26" s="78"/>
      <c r="P26" s="4"/>
    </row>
    <row r="27" spans="1:17" ht="15.75" customHeight="1" x14ac:dyDescent="0.3">
      <c r="A27" s="340"/>
      <c r="B27" s="254"/>
      <c r="C27" s="257"/>
      <c r="D27" s="381"/>
      <c r="E27" s="257"/>
      <c r="F27" s="4"/>
      <c r="G27" s="4"/>
      <c r="H27" s="4"/>
      <c r="I27" s="4"/>
      <c r="J27" s="4"/>
      <c r="K27" s="4"/>
      <c r="L27" s="4">
        <f>SUM(H27:K27)</f>
        <v>0</v>
      </c>
      <c r="M27" s="340"/>
      <c r="N27" s="4"/>
      <c r="O27" s="71"/>
      <c r="P27" s="4"/>
    </row>
    <row r="28" spans="1:17" ht="15.75" customHeight="1" x14ac:dyDescent="0.3">
      <c r="A28" s="340"/>
      <c r="B28" s="254"/>
      <c r="C28" s="257"/>
      <c r="D28" s="381"/>
      <c r="E28" s="257"/>
      <c r="F28" s="4"/>
      <c r="G28" s="4"/>
      <c r="H28" s="4"/>
      <c r="I28" s="4"/>
      <c r="J28" s="4"/>
      <c r="K28" s="4"/>
      <c r="L28" s="4">
        <f>SUM(H28:K28)</f>
        <v>0</v>
      </c>
      <c r="M28" s="340"/>
      <c r="N28" s="4"/>
      <c r="O28" s="71"/>
      <c r="P28" s="4"/>
    </row>
    <row r="29" spans="1:17" ht="15.75" customHeight="1" thickBot="1" x14ac:dyDescent="0.35">
      <c r="A29" s="340"/>
      <c r="B29" s="255"/>
      <c r="C29" s="258"/>
      <c r="D29" s="382"/>
      <c r="E29" s="258"/>
      <c r="F29" s="350"/>
      <c r="G29" s="350"/>
      <c r="H29" s="56">
        <f>SUM(H24:H28)</f>
        <v>500</v>
      </c>
      <c r="I29" s="56">
        <f t="shared" ref="I29:L29" si="3">SUM(I24:I28)</f>
        <v>6500</v>
      </c>
      <c r="J29" s="56">
        <f t="shared" si="3"/>
        <v>3000</v>
      </c>
      <c r="K29" s="56">
        <f t="shared" si="3"/>
        <v>0</v>
      </c>
      <c r="L29" s="56">
        <f t="shared" si="3"/>
        <v>10000</v>
      </c>
      <c r="M29" s="56"/>
      <c r="N29" s="56">
        <f>M24-L29</f>
        <v>7500</v>
      </c>
      <c r="O29" s="101"/>
      <c r="P29" s="193"/>
    </row>
    <row r="30" spans="1:17" ht="17.25" customHeight="1" thickTop="1" x14ac:dyDescent="0.3">
      <c r="A30" s="340">
        <v>5</v>
      </c>
      <c r="B30" s="253" t="s">
        <v>594</v>
      </c>
      <c r="C30" s="256" t="s">
        <v>590</v>
      </c>
      <c r="D30" s="381" t="s">
        <v>25</v>
      </c>
      <c r="E30" s="270" t="s">
        <v>586</v>
      </c>
      <c r="F30" s="4">
        <v>6925</v>
      </c>
      <c r="G30" s="5" t="s">
        <v>560</v>
      </c>
      <c r="H30" s="4">
        <v>500</v>
      </c>
      <c r="I30" s="4">
        <v>5500</v>
      </c>
      <c r="J30" s="4">
        <v>3000</v>
      </c>
      <c r="K30" s="4"/>
      <c r="L30" s="4">
        <f>SUM(H30:K30)</f>
        <v>9000</v>
      </c>
      <c r="M30" s="340">
        <v>17500</v>
      </c>
      <c r="N30" s="4"/>
      <c r="O30" s="177" t="s">
        <v>295</v>
      </c>
      <c r="P30" s="4"/>
      <c r="Q30" s="103"/>
    </row>
    <row r="31" spans="1:17" ht="17.25" customHeight="1" x14ac:dyDescent="0.3">
      <c r="A31" s="340"/>
      <c r="B31" s="254"/>
      <c r="C31" s="257"/>
      <c r="D31" s="381"/>
      <c r="E31" s="257"/>
      <c r="F31" s="16"/>
      <c r="G31" s="26"/>
      <c r="H31" s="4"/>
      <c r="I31" s="4"/>
      <c r="J31" s="4"/>
      <c r="K31" s="4"/>
      <c r="L31" s="4">
        <f>SUM(H31:K31)</f>
        <v>0</v>
      </c>
      <c r="M31" s="340"/>
      <c r="N31" s="4"/>
      <c r="O31" s="177"/>
      <c r="P31" s="4"/>
      <c r="Q31" s="103"/>
    </row>
    <row r="32" spans="1:17" ht="17.25" customHeight="1" x14ac:dyDescent="0.3">
      <c r="A32" s="340"/>
      <c r="B32" s="254"/>
      <c r="C32" s="257"/>
      <c r="D32" s="381"/>
      <c r="E32" s="257"/>
      <c r="F32" s="16"/>
      <c r="G32" s="26"/>
      <c r="H32" s="4"/>
      <c r="I32" s="4"/>
      <c r="J32" s="4"/>
      <c r="K32" s="4"/>
      <c r="L32" s="4">
        <f>SUM(H32:K32)</f>
        <v>0</v>
      </c>
      <c r="M32" s="340"/>
      <c r="N32" s="4"/>
      <c r="O32" s="177"/>
      <c r="P32" s="4"/>
      <c r="Q32" s="104"/>
    </row>
    <row r="33" spans="1:16" ht="17.25" customHeight="1" x14ac:dyDescent="0.3">
      <c r="A33" s="340"/>
      <c r="B33" s="254"/>
      <c r="C33" s="257"/>
      <c r="D33" s="381"/>
      <c r="E33" s="257"/>
      <c r="F33" s="4"/>
      <c r="G33" s="4"/>
      <c r="H33" s="4"/>
      <c r="I33" s="4"/>
      <c r="J33" s="4"/>
      <c r="K33" s="4"/>
      <c r="L33" s="4">
        <f>SUM(H33:K33)</f>
        <v>0</v>
      </c>
      <c r="M33" s="340"/>
      <c r="N33" s="4"/>
      <c r="O33" s="71"/>
      <c r="P33" s="4"/>
    </row>
    <row r="34" spans="1:16" ht="17.25" customHeight="1" x14ac:dyDescent="0.3">
      <c r="A34" s="340"/>
      <c r="B34" s="254"/>
      <c r="C34" s="257"/>
      <c r="D34" s="381"/>
      <c r="E34" s="257"/>
      <c r="F34" s="4"/>
      <c r="G34" s="4"/>
      <c r="H34" s="4"/>
      <c r="I34" s="4"/>
      <c r="J34" s="4"/>
      <c r="K34" s="4"/>
      <c r="L34" s="4">
        <f>SUM(H34:K34)</f>
        <v>0</v>
      </c>
      <c r="M34" s="340"/>
      <c r="N34" s="4"/>
      <c r="O34" s="71"/>
      <c r="P34" s="4"/>
    </row>
    <row r="35" spans="1:16" ht="17.25" customHeight="1" thickBot="1" x14ac:dyDescent="0.35">
      <c r="A35" s="340"/>
      <c r="B35" s="255"/>
      <c r="C35" s="258"/>
      <c r="D35" s="382"/>
      <c r="E35" s="258"/>
      <c r="F35" s="350"/>
      <c r="G35" s="350"/>
      <c r="H35" s="56">
        <f>SUM(H30:H34)</f>
        <v>500</v>
      </c>
      <c r="I35" s="56">
        <f t="shared" ref="I35:L35" si="4">SUM(I30:I34)</f>
        <v>5500</v>
      </c>
      <c r="J35" s="56">
        <f t="shared" si="4"/>
        <v>3000</v>
      </c>
      <c r="K35" s="56">
        <f t="shared" si="4"/>
        <v>0</v>
      </c>
      <c r="L35" s="56">
        <f t="shared" si="4"/>
        <v>9000</v>
      </c>
      <c r="M35" s="56"/>
      <c r="N35" s="56">
        <f>M30-L35</f>
        <v>8500</v>
      </c>
      <c r="O35" s="101"/>
      <c r="P35" s="56"/>
    </row>
    <row r="36" spans="1:16" ht="17.25" customHeight="1" thickTop="1" x14ac:dyDescent="0.3">
      <c r="A36" s="340">
        <v>6</v>
      </c>
      <c r="B36" s="253" t="s">
        <v>755</v>
      </c>
      <c r="C36" s="256" t="s">
        <v>756</v>
      </c>
      <c r="D36" s="381" t="s">
        <v>25</v>
      </c>
      <c r="E36" s="371" t="s">
        <v>456</v>
      </c>
      <c r="F36" s="4">
        <v>6983</v>
      </c>
      <c r="G36" s="5" t="s">
        <v>757</v>
      </c>
      <c r="H36" s="4">
        <v>500</v>
      </c>
      <c r="I36" s="4">
        <v>6500</v>
      </c>
      <c r="J36" s="4">
        <v>3000</v>
      </c>
      <c r="K36" s="4"/>
      <c r="L36" s="4">
        <f>SUM(H36:K36)</f>
        <v>10000</v>
      </c>
      <c r="M36" s="340">
        <v>17500</v>
      </c>
      <c r="N36" s="4"/>
      <c r="O36" s="71" t="s">
        <v>295</v>
      </c>
      <c r="P36" s="4"/>
    </row>
    <row r="37" spans="1:16" ht="17.25" customHeight="1" x14ac:dyDescent="0.3">
      <c r="A37" s="340"/>
      <c r="B37" s="254"/>
      <c r="C37" s="257"/>
      <c r="D37" s="381"/>
      <c r="E37" s="257"/>
      <c r="F37" s="16"/>
      <c r="G37" s="4"/>
      <c r="H37" s="4"/>
      <c r="I37" s="4"/>
      <c r="J37" s="4"/>
      <c r="K37" s="4"/>
      <c r="L37" s="4">
        <f>SUM(H37:K37)</f>
        <v>0</v>
      </c>
      <c r="M37" s="340"/>
      <c r="N37" s="4"/>
      <c r="O37" s="71"/>
      <c r="P37" s="4"/>
    </row>
    <row r="38" spans="1:16" ht="17.25" customHeight="1" x14ac:dyDescent="0.3">
      <c r="A38" s="340"/>
      <c r="B38" s="254"/>
      <c r="C38" s="257"/>
      <c r="D38" s="381"/>
      <c r="E38" s="257"/>
      <c r="F38" s="16"/>
      <c r="G38" s="5"/>
      <c r="H38" s="4"/>
      <c r="I38" s="4"/>
      <c r="J38" s="4"/>
      <c r="K38" s="4"/>
      <c r="L38" s="4">
        <f>SUM(H38:K38)</f>
        <v>0</v>
      </c>
      <c r="M38" s="340"/>
      <c r="N38" s="4"/>
      <c r="O38" s="78"/>
      <c r="P38" s="4"/>
    </row>
    <row r="39" spans="1:16" ht="17.25" customHeight="1" x14ac:dyDescent="0.3">
      <c r="A39" s="340"/>
      <c r="B39" s="254"/>
      <c r="C39" s="257"/>
      <c r="D39" s="381"/>
      <c r="E39" s="257"/>
      <c r="F39" s="4"/>
      <c r="G39" s="4"/>
      <c r="H39" s="4"/>
      <c r="I39" s="4"/>
      <c r="J39" s="4"/>
      <c r="K39" s="4"/>
      <c r="L39" s="4">
        <f>SUM(H39:K39)</f>
        <v>0</v>
      </c>
      <c r="M39" s="340"/>
      <c r="N39" s="4"/>
      <c r="O39" s="71"/>
      <c r="P39" s="4"/>
    </row>
    <row r="40" spans="1:16" ht="17.25" customHeight="1" x14ac:dyDescent="0.3">
      <c r="A40" s="340"/>
      <c r="B40" s="254"/>
      <c r="C40" s="257"/>
      <c r="D40" s="381"/>
      <c r="E40" s="257"/>
      <c r="F40" s="4"/>
      <c r="G40" s="4"/>
      <c r="H40" s="4"/>
      <c r="I40" s="4"/>
      <c r="J40" s="4"/>
      <c r="K40" s="4"/>
      <c r="L40" s="4">
        <f>SUM(H40:K40)</f>
        <v>0</v>
      </c>
      <c r="M40" s="340"/>
      <c r="N40" s="4"/>
      <c r="O40" s="71"/>
      <c r="P40" s="4"/>
    </row>
    <row r="41" spans="1:16" ht="17.25" customHeight="1" thickBot="1" x14ac:dyDescent="0.35">
      <c r="A41" s="340"/>
      <c r="B41" s="255"/>
      <c r="C41" s="258"/>
      <c r="D41" s="382"/>
      <c r="E41" s="258"/>
      <c r="F41" s="350"/>
      <c r="G41" s="350"/>
      <c r="H41" s="56">
        <f>SUM(H36:H40)</f>
        <v>500</v>
      </c>
      <c r="I41" s="56">
        <f t="shared" ref="I41:L41" si="5">SUM(I36:I40)</f>
        <v>6500</v>
      </c>
      <c r="J41" s="56">
        <f t="shared" si="5"/>
        <v>3000</v>
      </c>
      <c r="K41" s="56">
        <f t="shared" si="5"/>
        <v>0</v>
      </c>
      <c r="L41" s="56">
        <f t="shared" si="5"/>
        <v>10000</v>
      </c>
      <c r="M41" s="56"/>
      <c r="N41" s="56">
        <f>M36-L41</f>
        <v>7500</v>
      </c>
      <c r="O41" s="101"/>
      <c r="P41" s="56"/>
    </row>
    <row r="42" spans="1:16" ht="17.25" customHeight="1" thickTop="1" x14ac:dyDescent="0.3">
      <c r="A42" s="340">
        <v>7</v>
      </c>
      <c r="B42" s="253" t="s">
        <v>758</v>
      </c>
      <c r="C42" s="256" t="s">
        <v>463</v>
      </c>
      <c r="D42" s="381" t="s">
        <v>706</v>
      </c>
      <c r="E42" s="297" t="s">
        <v>456</v>
      </c>
      <c r="F42" s="4">
        <v>6985</v>
      </c>
      <c r="G42" s="5" t="s">
        <v>759</v>
      </c>
      <c r="H42" s="4">
        <v>500</v>
      </c>
      <c r="I42" s="4">
        <v>6500</v>
      </c>
      <c r="J42" s="4">
        <v>3000</v>
      </c>
      <c r="K42" s="4"/>
      <c r="L42" s="4">
        <f>SUM(H42:K42)</f>
        <v>10000</v>
      </c>
      <c r="M42" s="340">
        <v>17500</v>
      </c>
      <c r="N42" s="4"/>
      <c r="O42" s="71" t="s">
        <v>295</v>
      </c>
      <c r="P42" s="4"/>
    </row>
    <row r="43" spans="1:16" ht="17.25" customHeight="1" x14ac:dyDescent="0.3">
      <c r="A43" s="340"/>
      <c r="B43" s="254"/>
      <c r="C43" s="257"/>
      <c r="D43" s="381"/>
      <c r="E43" s="287"/>
      <c r="F43" s="16"/>
      <c r="G43" s="4"/>
      <c r="H43" s="4"/>
      <c r="I43" s="4"/>
      <c r="J43" s="4"/>
      <c r="K43" s="4"/>
      <c r="L43" s="4">
        <f>SUM(H43:K43)</f>
        <v>0</v>
      </c>
      <c r="M43" s="340"/>
      <c r="N43" s="4"/>
      <c r="O43" s="71"/>
      <c r="P43" s="4"/>
    </row>
    <row r="44" spans="1:16" ht="17.25" customHeight="1" x14ac:dyDescent="0.3">
      <c r="A44" s="340"/>
      <c r="B44" s="254"/>
      <c r="C44" s="257"/>
      <c r="D44" s="381"/>
      <c r="E44" s="287"/>
      <c r="F44" s="16"/>
      <c r="G44" s="5"/>
      <c r="H44" s="4"/>
      <c r="I44" s="4"/>
      <c r="J44" s="4"/>
      <c r="K44" s="4"/>
      <c r="L44" s="4">
        <f>SUM(H44:K44)</f>
        <v>0</v>
      </c>
      <c r="M44" s="340"/>
      <c r="N44" s="4"/>
      <c r="O44" s="78"/>
      <c r="P44" s="4"/>
    </row>
    <row r="45" spans="1:16" ht="17.25" customHeight="1" x14ac:dyDescent="0.3">
      <c r="A45" s="340"/>
      <c r="B45" s="254"/>
      <c r="C45" s="257"/>
      <c r="D45" s="381"/>
      <c r="E45" s="287"/>
      <c r="F45" s="4"/>
      <c r="G45" s="4"/>
      <c r="H45" s="4"/>
      <c r="I45" s="4"/>
      <c r="J45" s="4"/>
      <c r="K45" s="4"/>
      <c r="L45" s="4">
        <f>SUM(H45:K45)</f>
        <v>0</v>
      </c>
      <c r="M45" s="340"/>
      <c r="N45" s="4"/>
      <c r="O45" s="71"/>
      <c r="P45" s="4"/>
    </row>
    <row r="46" spans="1:16" ht="17.25" customHeight="1" x14ac:dyDescent="0.3">
      <c r="A46" s="340"/>
      <c r="B46" s="254"/>
      <c r="C46" s="257"/>
      <c r="D46" s="381"/>
      <c r="E46" s="287"/>
      <c r="F46" s="4"/>
      <c r="G46" s="4"/>
      <c r="H46" s="4"/>
      <c r="I46" s="4"/>
      <c r="J46" s="4"/>
      <c r="K46" s="4"/>
      <c r="L46" s="4">
        <f>SUM(H46:K46)</f>
        <v>0</v>
      </c>
      <c r="M46" s="340"/>
      <c r="N46" s="4"/>
      <c r="O46" s="71"/>
      <c r="P46" s="4"/>
    </row>
    <row r="47" spans="1:16" ht="17.25" customHeight="1" thickBot="1" x14ac:dyDescent="0.35">
      <c r="A47" s="340"/>
      <c r="B47" s="255"/>
      <c r="C47" s="258"/>
      <c r="D47" s="382"/>
      <c r="E47" s="288"/>
      <c r="F47" s="350"/>
      <c r="G47" s="350"/>
      <c r="H47" s="56">
        <f>SUM(H42:H46)</f>
        <v>500</v>
      </c>
      <c r="I47" s="56">
        <f t="shared" ref="I47:L47" si="6">SUM(I42:I46)</f>
        <v>6500</v>
      </c>
      <c r="J47" s="56">
        <f t="shared" si="6"/>
        <v>3000</v>
      </c>
      <c r="K47" s="56">
        <f t="shared" si="6"/>
        <v>0</v>
      </c>
      <c r="L47" s="56">
        <f t="shared" si="6"/>
        <v>10000</v>
      </c>
      <c r="M47" s="56"/>
      <c r="N47" s="56">
        <f>M42-L47</f>
        <v>7500</v>
      </c>
      <c r="O47" s="101"/>
      <c r="P47" s="56"/>
    </row>
    <row r="48" spans="1:16" ht="17.25" customHeight="1" thickTop="1" x14ac:dyDescent="0.3">
      <c r="A48" s="356">
        <v>8</v>
      </c>
      <c r="B48" s="279" t="s">
        <v>816</v>
      </c>
      <c r="C48" s="280" t="s">
        <v>590</v>
      </c>
      <c r="D48" s="383" t="s">
        <v>585</v>
      </c>
      <c r="E48" s="276" t="s">
        <v>456</v>
      </c>
      <c r="F48" s="36">
        <v>7008</v>
      </c>
      <c r="G48" s="48" t="s">
        <v>812</v>
      </c>
      <c r="H48" s="36">
        <v>500</v>
      </c>
      <c r="I48" s="36">
        <v>14000</v>
      </c>
      <c r="J48" s="36">
        <v>3000</v>
      </c>
      <c r="K48" s="36"/>
      <c r="L48" s="36">
        <f>SUM(H48:K48)</f>
        <v>17500</v>
      </c>
      <c r="M48" s="356">
        <v>17500</v>
      </c>
      <c r="N48" s="36"/>
      <c r="O48" s="73" t="s">
        <v>295</v>
      </c>
      <c r="P48" s="36"/>
    </row>
    <row r="49" spans="1:16" ht="17.25" customHeight="1" x14ac:dyDescent="0.3">
      <c r="A49" s="356"/>
      <c r="B49" s="277"/>
      <c r="C49" s="267"/>
      <c r="D49" s="383"/>
      <c r="E49" s="267"/>
      <c r="F49" s="31"/>
      <c r="G49" s="36"/>
      <c r="H49" s="36"/>
      <c r="I49" s="36"/>
      <c r="J49" s="36"/>
      <c r="K49" s="36"/>
      <c r="L49" s="36">
        <f>SUM(H49:K49)</f>
        <v>0</v>
      </c>
      <c r="M49" s="356"/>
      <c r="N49" s="36"/>
      <c r="O49" s="73"/>
      <c r="P49" s="36"/>
    </row>
    <row r="50" spans="1:16" ht="17.25" customHeight="1" x14ac:dyDescent="0.3">
      <c r="A50" s="356"/>
      <c r="B50" s="277"/>
      <c r="C50" s="267"/>
      <c r="D50" s="383"/>
      <c r="E50" s="267"/>
      <c r="F50" s="31"/>
      <c r="G50" s="48"/>
      <c r="H50" s="36"/>
      <c r="I50" s="36"/>
      <c r="J50" s="36"/>
      <c r="K50" s="36"/>
      <c r="L50" s="36">
        <f>SUM(H50:K50)</f>
        <v>0</v>
      </c>
      <c r="M50" s="356"/>
      <c r="N50" s="36"/>
      <c r="O50" s="144"/>
      <c r="P50" s="36"/>
    </row>
    <row r="51" spans="1:16" ht="17.25" customHeight="1" x14ac:dyDescent="0.3">
      <c r="A51" s="356"/>
      <c r="B51" s="277"/>
      <c r="C51" s="267"/>
      <c r="D51" s="383"/>
      <c r="E51" s="267"/>
      <c r="F51" s="36"/>
      <c r="G51" s="36"/>
      <c r="H51" s="36"/>
      <c r="I51" s="36"/>
      <c r="J51" s="36"/>
      <c r="K51" s="36"/>
      <c r="L51" s="36">
        <f>SUM(H51:K51)</f>
        <v>0</v>
      </c>
      <c r="M51" s="356"/>
      <c r="N51" s="36"/>
      <c r="O51" s="73"/>
      <c r="P51" s="36"/>
    </row>
    <row r="52" spans="1:16" ht="17.25" customHeight="1" x14ac:dyDescent="0.3">
      <c r="A52" s="356"/>
      <c r="B52" s="277"/>
      <c r="C52" s="267"/>
      <c r="D52" s="383"/>
      <c r="E52" s="267"/>
      <c r="F52" s="36"/>
      <c r="G52" s="36"/>
      <c r="H52" s="36"/>
      <c r="I52" s="36"/>
      <c r="J52" s="36"/>
      <c r="K52" s="36"/>
      <c r="L52" s="36">
        <f>SUM(H52:K52)</f>
        <v>0</v>
      </c>
      <c r="M52" s="356"/>
      <c r="N52" s="36"/>
      <c r="O52" s="73"/>
      <c r="P52" s="36"/>
    </row>
    <row r="53" spans="1:16" ht="17.25" customHeight="1" thickBot="1" x14ac:dyDescent="0.35">
      <c r="A53" s="356"/>
      <c r="B53" s="278"/>
      <c r="C53" s="268"/>
      <c r="D53" s="384"/>
      <c r="E53" s="268"/>
      <c r="F53" s="332"/>
      <c r="G53" s="332"/>
      <c r="H53" s="57">
        <f>SUM(H48:H52)</f>
        <v>500</v>
      </c>
      <c r="I53" s="57">
        <f t="shared" ref="I53:L53" si="7">SUM(I48:I52)</f>
        <v>14000</v>
      </c>
      <c r="J53" s="57">
        <f t="shared" si="7"/>
        <v>3000</v>
      </c>
      <c r="K53" s="57">
        <f t="shared" si="7"/>
        <v>0</v>
      </c>
      <c r="L53" s="57">
        <f t="shared" si="7"/>
        <v>17500</v>
      </c>
      <c r="M53" s="57"/>
      <c r="N53" s="57">
        <f>M48-L53</f>
        <v>0</v>
      </c>
      <c r="O53" s="145"/>
      <c r="P53" s="57"/>
    </row>
    <row r="54" spans="1:16" ht="17.25" customHeight="1" thickTop="1" x14ac:dyDescent="0.3">
      <c r="A54" s="340">
        <v>9</v>
      </c>
      <c r="B54" s="253"/>
      <c r="C54" s="256"/>
      <c r="D54" s="381"/>
      <c r="E54" s="297"/>
      <c r="F54" s="4"/>
      <c r="G54" s="5"/>
      <c r="H54" s="4"/>
      <c r="I54" s="4"/>
      <c r="J54" s="4"/>
      <c r="K54" s="4"/>
      <c r="L54" s="4">
        <f>SUM(H54:K54)</f>
        <v>0</v>
      </c>
      <c r="M54" s="340"/>
      <c r="N54" s="4"/>
      <c r="O54" s="71"/>
      <c r="P54" s="4"/>
    </row>
    <row r="55" spans="1:16" ht="17.25" customHeight="1" x14ac:dyDescent="0.3">
      <c r="A55" s="340"/>
      <c r="B55" s="254"/>
      <c r="C55" s="257"/>
      <c r="D55" s="381"/>
      <c r="E55" s="287"/>
      <c r="F55" s="16"/>
      <c r="G55" s="4"/>
      <c r="H55" s="4"/>
      <c r="I55" s="4"/>
      <c r="J55" s="4"/>
      <c r="K55" s="4"/>
      <c r="L55" s="4">
        <f>SUM(H55:K55)</f>
        <v>0</v>
      </c>
      <c r="M55" s="340"/>
      <c r="N55" s="4"/>
      <c r="O55" s="71"/>
      <c r="P55" s="4"/>
    </row>
    <row r="56" spans="1:16" ht="17.25" customHeight="1" x14ac:dyDescent="0.3">
      <c r="A56" s="340"/>
      <c r="B56" s="254"/>
      <c r="C56" s="257"/>
      <c r="D56" s="381"/>
      <c r="E56" s="287"/>
      <c r="F56" s="16"/>
      <c r="G56" s="5"/>
      <c r="H56" s="4"/>
      <c r="I56" s="4"/>
      <c r="J56" s="4"/>
      <c r="K56" s="4"/>
      <c r="L56" s="4">
        <f>SUM(H56:K56)</f>
        <v>0</v>
      </c>
      <c r="M56" s="340"/>
      <c r="N56" s="4"/>
      <c r="O56" s="78"/>
      <c r="P56" s="4"/>
    </row>
    <row r="57" spans="1:16" ht="17.25" customHeight="1" x14ac:dyDescent="0.3">
      <c r="A57" s="340"/>
      <c r="B57" s="254"/>
      <c r="C57" s="257"/>
      <c r="D57" s="381"/>
      <c r="E57" s="287"/>
      <c r="F57" s="4"/>
      <c r="G57" s="4"/>
      <c r="H57" s="4"/>
      <c r="I57" s="4"/>
      <c r="J57" s="4"/>
      <c r="K57" s="4"/>
      <c r="L57" s="4">
        <f>SUM(H57:K57)</f>
        <v>0</v>
      </c>
      <c r="M57" s="340"/>
      <c r="N57" s="4"/>
      <c r="O57" s="71"/>
      <c r="P57" s="4"/>
    </row>
    <row r="58" spans="1:16" ht="17.25" customHeight="1" x14ac:dyDescent="0.3">
      <c r="A58" s="340"/>
      <c r="B58" s="254"/>
      <c r="C58" s="257"/>
      <c r="D58" s="381"/>
      <c r="E58" s="287"/>
      <c r="F58" s="4"/>
      <c r="G58" s="4"/>
      <c r="H58" s="4"/>
      <c r="I58" s="4"/>
      <c r="J58" s="4"/>
      <c r="K58" s="4"/>
      <c r="L58" s="4">
        <f>SUM(H58:K58)</f>
        <v>0</v>
      </c>
      <c r="M58" s="340"/>
      <c r="N58" s="4"/>
      <c r="O58" s="71"/>
      <c r="P58" s="4"/>
    </row>
    <row r="59" spans="1:16" ht="17.25" customHeight="1" thickBot="1" x14ac:dyDescent="0.35">
      <c r="A59" s="340"/>
      <c r="B59" s="255"/>
      <c r="C59" s="258"/>
      <c r="D59" s="382"/>
      <c r="E59" s="288"/>
      <c r="F59" s="350"/>
      <c r="G59" s="350"/>
      <c r="H59" s="56">
        <f>SUM(H54:H58)</f>
        <v>0</v>
      </c>
      <c r="I59" s="56">
        <f t="shared" ref="I59:L59" si="8">SUM(I54:I58)</f>
        <v>0</v>
      </c>
      <c r="J59" s="56">
        <f t="shared" si="8"/>
        <v>0</v>
      </c>
      <c r="K59" s="56">
        <f t="shared" si="8"/>
        <v>0</v>
      </c>
      <c r="L59" s="56">
        <f t="shared" si="8"/>
        <v>0</v>
      </c>
      <c r="M59" s="56"/>
      <c r="N59" s="56">
        <f>M54-L59</f>
        <v>0</v>
      </c>
      <c r="O59" s="101"/>
      <c r="P59" s="56"/>
    </row>
    <row r="60" spans="1:16" ht="17.25" customHeight="1" thickTop="1" x14ac:dyDescent="0.3">
      <c r="A60" s="356">
        <v>10</v>
      </c>
      <c r="B60" s="261"/>
      <c r="C60" s="264"/>
      <c r="D60" s="383"/>
      <c r="E60" s="269"/>
      <c r="F60" s="36"/>
      <c r="G60" s="48"/>
      <c r="H60" s="4"/>
      <c r="I60" s="4"/>
      <c r="J60" s="4"/>
      <c r="K60" s="4"/>
      <c r="L60" s="4">
        <f>SUM(H60:K60)</f>
        <v>0</v>
      </c>
      <c r="M60" s="340"/>
      <c r="N60" s="4"/>
      <c r="O60" s="73"/>
      <c r="P60" s="36"/>
    </row>
    <row r="61" spans="1:16" ht="17.25" customHeight="1" x14ac:dyDescent="0.3">
      <c r="A61" s="356"/>
      <c r="B61" s="262"/>
      <c r="C61" s="265"/>
      <c r="D61" s="383"/>
      <c r="E61" s="265"/>
      <c r="F61" s="31"/>
      <c r="G61" s="36"/>
      <c r="H61" s="4"/>
      <c r="I61" s="4"/>
      <c r="J61" s="4"/>
      <c r="K61" s="4"/>
      <c r="L61" s="4">
        <f>SUM(H61:K61)</f>
        <v>0</v>
      </c>
      <c r="M61" s="340"/>
      <c r="N61" s="4"/>
      <c r="O61" s="73"/>
      <c r="P61" s="36"/>
    </row>
    <row r="62" spans="1:16" ht="17.25" customHeight="1" x14ac:dyDescent="0.3">
      <c r="A62" s="356"/>
      <c r="B62" s="262"/>
      <c r="C62" s="265"/>
      <c r="D62" s="383"/>
      <c r="E62" s="265"/>
      <c r="F62" s="31"/>
      <c r="G62" s="48"/>
      <c r="H62" s="4"/>
      <c r="I62" s="4"/>
      <c r="J62" s="4"/>
      <c r="K62" s="4"/>
      <c r="L62" s="4">
        <f>SUM(H62:K62)</f>
        <v>0</v>
      </c>
      <c r="M62" s="340"/>
      <c r="N62" s="4"/>
      <c r="O62" s="81"/>
      <c r="P62" s="36"/>
    </row>
    <row r="63" spans="1:16" ht="17.25" customHeight="1" x14ac:dyDescent="0.3">
      <c r="A63" s="356"/>
      <c r="B63" s="262"/>
      <c r="C63" s="265"/>
      <c r="D63" s="383"/>
      <c r="E63" s="265"/>
      <c r="F63" s="36"/>
      <c r="G63" s="36"/>
      <c r="H63" s="4"/>
      <c r="I63" s="4"/>
      <c r="J63" s="4"/>
      <c r="K63" s="4"/>
      <c r="L63" s="4">
        <f>SUM(H63:K63)</f>
        <v>0</v>
      </c>
      <c r="M63" s="340"/>
      <c r="N63" s="4"/>
      <c r="O63" s="73"/>
      <c r="P63" s="36"/>
    </row>
    <row r="64" spans="1:16" ht="17.25" customHeight="1" x14ac:dyDescent="0.3">
      <c r="A64" s="356"/>
      <c r="B64" s="262"/>
      <c r="C64" s="265"/>
      <c r="D64" s="383"/>
      <c r="E64" s="265"/>
      <c r="F64" s="36"/>
      <c r="G64" s="36"/>
      <c r="H64" s="4"/>
      <c r="I64" s="4"/>
      <c r="J64" s="4"/>
      <c r="K64" s="4"/>
      <c r="L64" s="4">
        <f>SUM(H64:K64)</f>
        <v>0</v>
      </c>
      <c r="M64" s="340"/>
      <c r="N64" s="4"/>
      <c r="O64" s="73"/>
      <c r="P64" s="36"/>
    </row>
    <row r="65" spans="1:16" ht="17.25" customHeight="1" thickBot="1" x14ac:dyDescent="0.35">
      <c r="A65" s="356"/>
      <c r="B65" s="263"/>
      <c r="C65" s="266"/>
      <c r="D65" s="384"/>
      <c r="E65" s="266"/>
      <c r="F65" s="332"/>
      <c r="G65" s="332"/>
      <c r="H65" s="56">
        <f>SUM(H60:H64)</f>
        <v>0</v>
      </c>
      <c r="I65" s="56">
        <f t="shared" ref="I65:L65" si="9">SUM(I60:I64)</f>
        <v>0</v>
      </c>
      <c r="J65" s="56">
        <f t="shared" si="9"/>
        <v>0</v>
      </c>
      <c r="K65" s="56">
        <f t="shared" si="9"/>
        <v>0</v>
      </c>
      <c r="L65" s="56">
        <f t="shared" si="9"/>
        <v>0</v>
      </c>
      <c r="M65" s="56"/>
      <c r="N65" s="56">
        <f>M60-L65</f>
        <v>0</v>
      </c>
      <c r="O65" s="145"/>
      <c r="P65" s="57"/>
    </row>
    <row r="66" spans="1:16" ht="17.25" customHeight="1" thickTop="1" x14ac:dyDescent="0.3">
      <c r="A66" s="356">
        <v>11</v>
      </c>
      <c r="B66" s="261"/>
      <c r="C66" s="264"/>
      <c r="D66" s="383"/>
      <c r="E66" s="269"/>
      <c r="F66" s="36"/>
      <c r="G66" s="48"/>
      <c r="H66" s="4"/>
      <c r="I66" s="4"/>
      <c r="J66" s="4"/>
      <c r="K66" s="4"/>
      <c r="L66" s="4">
        <f>SUM(H66:K66)</f>
        <v>0</v>
      </c>
      <c r="M66" s="340"/>
      <c r="N66" s="4"/>
      <c r="O66" s="73"/>
      <c r="P66" s="36"/>
    </row>
    <row r="67" spans="1:16" ht="17.25" customHeight="1" x14ac:dyDescent="0.3">
      <c r="A67" s="356"/>
      <c r="B67" s="262"/>
      <c r="C67" s="265"/>
      <c r="D67" s="383"/>
      <c r="E67" s="265"/>
      <c r="F67" s="31"/>
      <c r="G67" s="36"/>
      <c r="H67" s="4"/>
      <c r="I67" s="4"/>
      <c r="J67" s="4"/>
      <c r="K67" s="4"/>
      <c r="L67" s="4">
        <f>SUM(H67:K67)</f>
        <v>0</v>
      </c>
      <c r="M67" s="340"/>
      <c r="N67" s="4"/>
      <c r="O67" s="73"/>
      <c r="P67" s="36"/>
    </row>
    <row r="68" spans="1:16" ht="17.25" customHeight="1" x14ac:dyDescent="0.3">
      <c r="A68" s="356"/>
      <c r="B68" s="262"/>
      <c r="C68" s="265"/>
      <c r="D68" s="383"/>
      <c r="E68" s="265"/>
      <c r="F68" s="31"/>
      <c r="G68" s="48"/>
      <c r="H68" s="4"/>
      <c r="I68" s="4"/>
      <c r="J68" s="4"/>
      <c r="K68" s="4"/>
      <c r="L68" s="4">
        <f>SUM(H68:K68)</f>
        <v>0</v>
      </c>
      <c r="M68" s="340"/>
      <c r="N68" s="4"/>
      <c r="O68" s="81"/>
      <c r="P68" s="36"/>
    </row>
    <row r="69" spans="1:16" ht="17.25" customHeight="1" x14ac:dyDescent="0.3">
      <c r="A69" s="356"/>
      <c r="B69" s="262"/>
      <c r="C69" s="265"/>
      <c r="D69" s="383"/>
      <c r="E69" s="265"/>
      <c r="F69" s="36"/>
      <c r="G69" s="36"/>
      <c r="H69" s="4"/>
      <c r="I69" s="4"/>
      <c r="J69" s="4"/>
      <c r="K69" s="4"/>
      <c r="L69" s="4">
        <f>SUM(H69:K69)</f>
        <v>0</v>
      </c>
      <c r="M69" s="340"/>
      <c r="N69" s="4"/>
      <c r="O69" s="73"/>
      <c r="P69" s="36"/>
    </row>
    <row r="70" spans="1:16" ht="17.25" customHeight="1" x14ac:dyDescent="0.3">
      <c r="A70" s="356"/>
      <c r="B70" s="262"/>
      <c r="C70" s="265"/>
      <c r="D70" s="383"/>
      <c r="E70" s="265"/>
      <c r="F70" s="36"/>
      <c r="G70" s="36"/>
      <c r="H70" s="4"/>
      <c r="I70" s="4"/>
      <c r="J70" s="4"/>
      <c r="K70" s="4"/>
      <c r="L70" s="4">
        <f>SUM(H70:K70)</f>
        <v>0</v>
      </c>
      <c r="M70" s="340"/>
      <c r="N70" s="4"/>
      <c r="O70" s="73"/>
      <c r="P70" s="36"/>
    </row>
    <row r="71" spans="1:16" ht="17.25" customHeight="1" thickBot="1" x14ac:dyDescent="0.35">
      <c r="A71" s="356"/>
      <c r="B71" s="263"/>
      <c r="C71" s="266"/>
      <c r="D71" s="384"/>
      <c r="E71" s="266"/>
      <c r="F71" s="332"/>
      <c r="G71" s="332"/>
      <c r="H71" s="56">
        <f>SUM(H66:H70)</f>
        <v>0</v>
      </c>
      <c r="I71" s="56">
        <f t="shared" ref="I71:L71" si="10">SUM(I66:I70)</f>
        <v>0</v>
      </c>
      <c r="J71" s="56">
        <f t="shared" si="10"/>
        <v>0</v>
      </c>
      <c r="K71" s="56">
        <f t="shared" si="10"/>
        <v>0</v>
      </c>
      <c r="L71" s="56">
        <f t="shared" si="10"/>
        <v>0</v>
      </c>
      <c r="M71" s="56"/>
      <c r="N71" s="56">
        <f>M66-L71</f>
        <v>0</v>
      </c>
      <c r="O71" s="145"/>
      <c r="P71" s="57"/>
    </row>
    <row r="72" spans="1:16" ht="17.25" customHeight="1" thickTop="1" x14ac:dyDescent="0.3">
      <c r="A72" s="340">
        <v>12</v>
      </c>
      <c r="B72" s="253"/>
      <c r="C72" s="256"/>
      <c r="D72" s="381"/>
      <c r="E72" s="297"/>
      <c r="F72" s="4"/>
      <c r="G72" s="5"/>
      <c r="H72" s="4"/>
      <c r="I72" s="4"/>
      <c r="J72" s="4"/>
      <c r="K72" s="4"/>
      <c r="L72" s="4">
        <f>SUM(H72:K72)</f>
        <v>0</v>
      </c>
      <c r="M72" s="340"/>
      <c r="N72" s="4"/>
      <c r="O72" s="71"/>
      <c r="P72" s="4"/>
    </row>
    <row r="73" spans="1:16" ht="17.25" customHeight="1" x14ac:dyDescent="0.3">
      <c r="A73" s="340"/>
      <c r="B73" s="254"/>
      <c r="C73" s="257"/>
      <c r="D73" s="381"/>
      <c r="E73" s="287"/>
      <c r="F73" s="16"/>
      <c r="G73" s="4"/>
      <c r="H73" s="4"/>
      <c r="I73" s="4"/>
      <c r="J73" s="4"/>
      <c r="K73" s="4"/>
      <c r="L73" s="4">
        <f>SUM(H73:K73)</f>
        <v>0</v>
      </c>
      <c r="M73" s="340"/>
      <c r="N73" s="4"/>
      <c r="O73" s="71"/>
      <c r="P73" s="4"/>
    </row>
    <row r="74" spans="1:16" ht="17.25" customHeight="1" x14ac:dyDescent="0.3">
      <c r="A74" s="340"/>
      <c r="B74" s="254"/>
      <c r="C74" s="257"/>
      <c r="D74" s="381"/>
      <c r="E74" s="287"/>
      <c r="F74" s="16"/>
      <c r="G74" s="5"/>
      <c r="H74" s="4"/>
      <c r="I74" s="4"/>
      <c r="J74" s="4"/>
      <c r="K74" s="4"/>
      <c r="L74" s="4">
        <f>SUM(H74:K74)</f>
        <v>0</v>
      </c>
      <c r="M74" s="340"/>
      <c r="N74" s="4"/>
      <c r="O74" s="78"/>
      <c r="P74" s="4"/>
    </row>
    <row r="75" spans="1:16" ht="17.25" customHeight="1" x14ac:dyDescent="0.3">
      <c r="A75" s="340"/>
      <c r="B75" s="254"/>
      <c r="C75" s="257"/>
      <c r="D75" s="381"/>
      <c r="E75" s="287"/>
      <c r="F75" s="4"/>
      <c r="G75" s="4"/>
      <c r="H75" s="4"/>
      <c r="I75" s="4"/>
      <c r="J75" s="4"/>
      <c r="K75" s="4"/>
      <c r="L75" s="4">
        <f>SUM(H75:K75)</f>
        <v>0</v>
      </c>
      <c r="M75" s="340"/>
      <c r="N75" s="4"/>
      <c r="O75" s="71"/>
      <c r="P75" s="4"/>
    </row>
    <row r="76" spans="1:16" ht="17.25" customHeight="1" x14ac:dyDescent="0.3">
      <c r="A76" s="340"/>
      <c r="B76" s="254"/>
      <c r="C76" s="257"/>
      <c r="D76" s="381"/>
      <c r="E76" s="287"/>
      <c r="F76" s="4"/>
      <c r="G76" s="4"/>
      <c r="H76" s="4"/>
      <c r="I76" s="4"/>
      <c r="J76" s="4"/>
      <c r="K76" s="4"/>
      <c r="L76" s="4">
        <f>SUM(H76:K76)</f>
        <v>0</v>
      </c>
      <c r="M76" s="340"/>
      <c r="N76" s="4"/>
      <c r="O76" s="71"/>
      <c r="P76" s="4"/>
    </row>
    <row r="77" spans="1:16" ht="17.25" customHeight="1" thickBot="1" x14ac:dyDescent="0.35">
      <c r="A77" s="340"/>
      <c r="B77" s="255"/>
      <c r="C77" s="258"/>
      <c r="D77" s="382"/>
      <c r="E77" s="288"/>
      <c r="F77" s="350"/>
      <c r="G77" s="350"/>
      <c r="H77" s="56">
        <f>SUM(H72:H76)</f>
        <v>0</v>
      </c>
      <c r="I77" s="56">
        <f t="shared" ref="I77:L77" si="11">SUM(I72:I76)</f>
        <v>0</v>
      </c>
      <c r="J77" s="56">
        <f t="shared" si="11"/>
        <v>0</v>
      </c>
      <c r="K77" s="56">
        <f t="shared" si="11"/>
        <v>0</v>
      </c>
      <c r="L77" s="56">
        <f t="shared" si="11"/>
        <v>0</v>
      </c>
      <c r="M77" s="56"/>
      <c r="N77" s="56">
        <f>M72-L77</f>
        <v>0</v>
      </c>
      <c r="O77" s="101"/>
      <c r="P77" s="56"/>
    </row>
    <row r="78" spans="1:16" ht="17.25" customHeight="1" thickTop="1" x14ac:dyDescent="0.3">
      <c r="A78" s="356">
        <v>13</v>
      </c>
      <c r="B78" s="279"/>
      <c r="C78" s="280"/>
      <c r="D78" s="383"/>
      <c r="E78" s="269"/>
      <c r="F78" s="36"/>
      <c r="G78" s="48"/>
      <c r="H78" s="4"/>
      <c r="I78" s="4"/>
      <c r="J78" s="4"/>
      <c r="K78" s="4"/>
      <c r="L78" s="4">
        <f>SUM(H78:K78)</f>
        <v>0</v>
      </c>
      <c r="M78" s="340"/>
      <c r="N78" s="4"/>
      <c r="O78" s="73"/>
      <c r="P78" s="36"/>
    </row>
    <row r="79" spans="1:16" ht="17.25" customHeight="1" x14ac:dyDescent="0.3">
      <c r="A79" s="356"/>
      <c r="B79" s="277"/>
      <c r="C79" s="267"/>
      <c r="D79" s="383"/>
      <c r="E79" s="265"/>
      <c r="F79" s="31"/>
      <c r="G79" s="36"/>
      <c r="H79" s="4"/>
      <c r="I79" s="4"/>
      <c r="J79" s="4"/>
      <c r="K79" s="4"/>
      <c r="L79" s="4">
        <f>SUM(H79:K79)</f>
        <v>0</v>
      </c>
      <c r="M79" s="340"/>
      <c r="N79" s="4"/>
      <c r="O79" s="123"/>
      <c r="P79" s="36"/>
    </row>
    <row r="80" spans="1:16" ht="17.25" customHeight="1" x14ac:dyDescent="0.3">
      <c r="A80" s="356"/>
      <c r="B80" s="277"/>
      <c r="C80" s="267"/>
      <c r="D80" s="383"/>
      <c r="E80" s="265"/>
      <c r="F80" s="31"/>
      <c r="G80" s="48"/>
      <c r="H80" s="4"/>
      <c r="I80" s="4"/>
      <c r="J80" s="4"/>
      <c r="K80" s="4"/>
      <c r="L80" s="4">
        <f>SUM(H80:K80)</f>
        <v>0</v>
      </c>
      <c r="M80" s="340"/>
      <c r="N80" s="4"/>
      <c r="O80" s="81"/>
      <c r="P80" s="36"/>
    </row>
    <row r="81" spans="1:16" ht="17.25" customHeight="1" x14ac:dyDescent="0.3">
      <c r="A81" s="356"/>
      <c r="B81" s="277"/>
      <c r="C81" s="267"/>
      <c r="D81" s="383"/>
      <c r="E81" s="265"/>
      <c r="F81" s="36"/>
      <c r="G81" s="36"/>
      <c r="H81" s="4"/>
      <c r="I81" s="4"/>
      <c r="J81" s="4"/>
      <c r="K81" s="4"/>
      <c r="L81" s="4">
        <f>SUM(H81:K81)</f>
        <v>0</v>
      </c>
      <c r="M81" s="340"/>
      <c r="N81" s="4"/>
      <c r="O81" s="73"/>
      <c r="P81" s="36"/>
    </row>
    <row r="82" spans="1:16" ht="17.25" customHeight="1" x14ac:dyDescent="0.3">
      <c r="A82" s="356"/>
      <c r="B82" s="277"/>
      <c r="C82" s="267"/>
      <c r="D82" s="383"/>
      <c r="E82" s="265"/>
      <c r="F82" s="36"/>
      <c r="G82" s="36"/>
      <c r="H82" s="4"/>
      <c r="I82" s="4"/>
      <c r="J82" s="4"/>
      <c r="K82" s="4"/>
      <c r="L82" s="4">
        <f>SUM(H82:K82)</f>
        <v>0</v>
      </c>
      <c r="M82" s="340"/>
      <c r="N82" s="4"/>
      <c r="O82" s="73"/>
      <c r="P82" s="36"/>
    </row>
    <row r="83" spans="1:16" ht="17.25" customHeight="1" thickBot="1" x14ac:dyDescent="0.35">
      <c r="A83" s="356"/>
      <c r="B83" s="278"/>
      <c r="C83" s="268"/>
      <c r="D83" s="384"/>
      <c r="E83" s="266"/>
      <c r="F83" s="332"/>
      <c r="G83" s="332"/>
      <c r="H83" s="56">
        <f>SUM(H78:H82)</f>
        <v>0</v>
      </c>
      <c r="I83" s="56">
        <f t="shared" ref="I83:L83" si="12">SUM(I78:I82)</f>
        <v>0</v>
      </c>
      <c r="J83" s="56">
        <f t="shared" si="12"/>
        <v>0</v>
      </c>
      <c r="K83" s="56">
        <f t="shared" si="12"/>
        <v>0</v>
      </c>
      <c r="L83" s="56">
        <f t="shared" si="12"/>
        <v>0</v>
      </c>
      <c r="M83" s="56"/>
      <c r="N83" s="56">
        <f>M78-L83</f>
        <v>0</v>
      </c>
      <c r="O83" s="145"/>
      <c r="P83" s="57"/>
    </row>
    <row r="84" spans="1:16" ht="17.25" customHeight="1" thickTop="1" x14ac:dyDescent="0.3">
      <c r="A84" s="340">
        <v>14</v>
      </c>
      <c r="B84" s="283"/>
      <c r="C84" s="286"/>
      <c r="D84" s="381"/>
      <c r="E84" s="292"/>
      <c r="F84" s="4"/>
      <c r="G84" s="5"/>
      <c r="H84" s="4"/>
      <c r="I84" s="4"/>
      <c r="J84" s="4"/>
      <c r="K84" s="4"/>
      <c r="L84" s="4">
        <f>SUM(H84:K84)</f>
        <v>0</v>
      </c>
      <c r="M84" s="340"/>
      <c r="N84" s="4"/>
      <c r="O84" s="71"/>
      <c r="P84" s="4"/>
    </row>
    <row r="85" spans="1:16" ht="17.25" customHeight="1" x14ac:dyDescent="0.3">
      <c r="A85" s="340"/>
      <c r="B85" s="284"/>
      <c r="C85" s="287"/>
      <c r="D85" s="381"/>
      <c r="E85" s="287"/>
      <c r="F85" s="16"/>
      <c r="G85" s="4"/>
      <c r="H85" s="4"/>
      <c r="I85" s="4"/>
      <c r="J85" s="4"/>
      <c r="K85" s="4"/>
      <c r="L85" s="4">
        <f>SUM(H85:K85)</f>
        <v>0</v>
      </c>
      <c r="M85" s="340"/>
      <c r="N85" s="4"/>
      <c r="O85" s="71"/>
      <c r="P85" s="4"/>
    </row>
    <row r="86" spans="1:16" ht="17.25" customHeight="1" x14ac:dyDescent="0.3">
      <c r="A86" s="340"/>
      <c r="B86" s="284"/>
      <c r="C86" s="287"/>
      <c r="D86" s="381"/>
      <c r="E86" s="287"/>
      <c r="F86" s="16"/>
      <c r="G86" s="5"/>
      <c r="H86" s="4"/>
      <c r="I86" s="4"/>
      <c r="J86" s="4"/>
      <c r="K86" s="4"/>
      <c r="L86" s="4">
        <f>SUM(H86:K86)</f>
        <v>0</v>
      </c>
      <c r="M86" s="340"/>
      <c r="N86" s="4"/>
      <c r="O86" s="78"/>
      <c r="P86" s="4"/>
    </row>
    <row r="87" spans="1:16" ht="17.25" customHeight="1" x14ac:dyDescent="0.3">
      <c r="A87" s="340"/>
      <c r="B87" s="284"/>
      <c r="C87" s="287"/>
      <c r="D87" s="381"/>
      <c r="E87" s="287"/>
      <c r="F87" s="4"/>
      <c r="G87" s="4"/>
      <c r="H87" s="4"/>
      <c r="I87" s="4"/>
      <c r="J87" s="4"/>
      <c r="K87" s="4"/>
      <c r="L87" s="4">
        <f>SUM(H87:K87)</f>
        <v>0</v>
      </c>
      <c r="M87" s="340"/>
      <c r="N87" s="4"/>
      <c r="O87" s="71"/>
      <c r="P87" s="4"/>
    </row>
    <row r="88" spans="1:16" ht="17.25" customHeight="1" x14ac:dyDescent="0.3">
      <c r="A88" s="340"/>
      <c r="B88" s="284"/>
      <c r="C88" s="287"/>
      <c r="D88" s="381"/>
      <c r="E88" s="287"/>
      <c r="F88" s="4"/>
      <c r="G88" s="4"/>
      <c r="H88" s="4"/>
      <c r="I88" s="4"/>
      <c r="J88" s="4"/>
      <c r="K88" s="4"/>
      <c r="L88" s="4">
        <f>SUM(H88:K88)</f>
        <v>0</v>
      </c>
      <c r="M88" s="340"/>
      <c r="N88" s="4"/>
      <c r="O88" s="71"/>
      <c r="P88" s="4"/>
    </row>
    <row r="89" spans="1:16" ht="17.25" customHeight="1" thickBot="1" x14ac:dyDescent="0.35">
      <c r="A89" s="340"/>
      <c r="B89" s="285"/>
      <c r="C89" s="288"/>
      <c r="D89" s="382"/>
      <c r="E89" s="288"/>
      <c r="F89" s="350"/>
      <c r="G89" s="350"/>
      <c r="H89" s="56">
        <f>SUM(H84:H88)</f>
        <v>0</v>
      </c>
      <c r="I89" s="56">
        <f t="shared" ref="I89:L89" si="13">SUM(I84:I88)</f>
        <v>0</v>
      </c>
      <c r="J89" s="56">
        <f t="shared" si="13"/>
        <v>0</v>
      </c>
      <c r="K89" s="56">
        <f t="shared" si="13"/>
        <v>0</v>
      </c>
      <c r="L89" s="56">
        <f t="shared" si="13"/>
        <v>0</v>
      </c>
      <c r="M89" s="56"/>
      <c r="N89" s="56">
        <f>M84-L89</f>
        <v>0</v>
      </c>
      <c r="O89" s="79"/>
      <c r="P89" s="56"/>
    </row>
    <row r="90" spans="1:16" ht="17.25" customHeight="1" thickTop="1" x14ac:dyDescent="0.3">
      <c r="A90" s="340">
        <v>15</v>
      </c>
      <c r="B90" s="385"/>
      <c r="C90" s="386"/>
      <c r="D90" s="339"/>
      <c r="E90" s="292"/>
      <c r="F90" s="4"/>
      <c r="G90" s="5"/>
      <c r="H90" s="4"/>
      <c r="I90" s="4"/>
      <c r="J90" s="4"/>
      <c r="K90" s="4"/>
      <c r="L90" s="4">
        <f>SUM(H90:K90)</f>
        <v>0</v>
      </c>
      <c r="M90" s="340"/>
      <c r="N90" s="4"/>
      <c r="O90" s="71"/>
      <c r="P90" s="4"/>
    </row>
    <row r="91" spans="1:16" ht="17.25" customHeight="1" x14ac:dyDescent="0.3">
      <c r="A91" s="340"/>
      <c r="B91" s="385"/>
      <c r="C91" s="386"/>
      <c r="D91" s="339"/>
      <c r="E91" s="287"/>
      <c r="F91" s="16"/>
      <c r="G91" s="4"/>
      <c r="H91" s="4"/>
      <c r="I91" s="4"/>
      <c r="J91" s="4"/>
      <c r="K91" s="4"/>
      <c r="L91" s="4">
        <f>SUM(H91:K91)</f>
        <v>0</v>
      </c>
      <c r="M91" s="340"/>
      <c r="N91" s="4"/>
      <c r="O91" s="71"/>
      <c r="P91" s="4"/>
    </row>
    <row r="92" spans="1:16" ht="17.25" customHeight="1" x14ac:dyDescent="0.3">
      <c r="A92" s="340"/>
      <c r="B92" s="385"/>
      <c r="C92" s="386"/>
      <c r="D92" s="339"/>
      <c r="E92" s="287"/>
      <c r="F92" s="16"/>
      <c r="G92" s="5"/>
      <c r="H92" s="4"/>
      <c r="I92" s="4"/>
      <c r="J92" s="4"/>
      <c r="K92" s="4"/>
      <c r="L92" s="4">
        <f>SUM(H92:K92)</f>
        <v>0</v>
      </c>
      <c r="M92" s="340"/>
      <c r="N92" s="4"/>
      <c r="O92" s="78"/>
      <c r="P92" s="4"/>
    </row>
    <row r="93" spans="1:16" ht="17.25" customHeight="1" x14ac:dyDescent="0.3">
      <c r="A93" s="340"/>
      <c r="B93" s="385"/>
      <c r="C93" s="386"/>
      <c r="D93" s="339"/>
      <c r="E93" s="287"/>
      <c r="F93" s="4"/>
      <c r="G93" s="4"/>
      <c r="H93" s="4"/>
      <c r="I93" s="4"/>
      <c r="J93" s="4"/>
      <c r="K93" s="4"/>
      <c r="L93" s="4">
        <f>SUM(H93:K93)</f>
        <v>0</v>
      </c>
      <c r="M93" s="340"/>
      <c r="N93" s="4"/>
      <c r="O93" s="71"/>
      <c r="P93" s="4"/>
    </row>
    <row r="94" spans="1:16" ht="17.25" customHeight="1" x14ac:dyDescent="0.3">
      <c r="A94" s="340"/>
      <c r="B94" s="385"/>
      <c r="C94" s="386"/>
      <c r="D94" s="339"/>
      <c r="E94" s="287"/>
      <c r="F94" s="4"/>
      <c r="G94" s="4"/>
      <c r="H94" s="4"/>
      <c r="I94" s="4"/>
      <c r="J94" s="4"/>
      <c r="K94" s="4"/>
      <c r="L94" s="4">
        <f>SUM(H94:K94)</f>
        <v>0</v>
      </c>
      <c r="M94" s="340"/>
      <c r="N94" s="4"/>
      <c r="O94" s="71"/>
      <c r="P94" s="4"/>
    </row>
    <row r="95" spans="1:16" ht="17.25" customHeight="1" thickBot="1" x14ac:dyDescent="0.35">
      <c r="A95" s="340"/>
      <c r="B95" s="385"/>
      <c r="C95" s="386"/>
      <c r="D95" s="339"/>
      <c r="E95" s="288"/>
      <c r="F95" s="350"/>
      <c r="G95" s="350"/>
      <c r="H95" s="56">
        <f>SUM(H90:H94)</f>
        <v>0</v>
      </c>
      <c r="I95" s="56">
        <f t="shared" ref="I95:L95" si="14">SUM(I90:I94)</f>
        <v>0</v>
      </c>
      <c r="J95" s="56">
        <f t="shared" si="14"/>
        <v>0</v>
      </c>
      <c r="K95" s="56">
        <f t="shared" si="14"/>
        <v>0</v>
      </c>
      <c r="L95" s="56">
        <f t="shared" si="14"/>
        <v>0</v>
      </c>
      <c r="M95" s="56"/>
      <c r="N95" s="56">
        <f>M90-L95</f>
        <v>0</v>
      </c>
      <c r="O95" s="79"/>
      <c r="P95" s="56"/>
    </row>
    <row r="96" spans="1:16" ht="17.25" customHeight="1" thickTop="1" x14ac:dyDescent="0.3">
      <c r="A96" s="356">
        <v>16</v>
      </c>
      <c r="B96" s="279"/>
      <c r="C96" s="280"/>
      <c r="D96" s="361"/>
      <c r="E96" s="269"/>
      <c r="F96" s="36"/>
      <c r="G96" s="48"/>
      <c r="H96" s="4"/>
      <c r="I96" s="4"/>
      <c r="J96" s="4"/>
      <c r="K96" s="4"/>
      <c r="L96" s="4">
        <f>SUM(H96:K96)</f>
        <v>0</v>
      </c>
      <c r="M96" s="340"/>
      <c r="N96" s="4"/>
      <c r="O96" s="73"/>
      <c r="P96" s="36"/>
    </row>
    <row r="97" spans="1:16" ht="17.25" customHeight="1" x14ac:dyDescent="0.3">
      <c r="A97" s="356"/>
      <c r="B97" s="277"/>
      <c r="C97" s="267"/>
      <c r="D97" s="361"/>
      <c r="E97" s="265"/>
      <c r="F97" s="31"/>
      <c r="G97" s="36"/>
      <c r="H97" s="4"/>
      <c r="I97" s="4"/>
      <c r="J97" s="4"/>
      <c r="K97" s="4"/>
      <c r="L97" s="4">
        <f>SUM(H97:K97)</f>
        <v>0</v>
      </c>
      <c r="M97" s="340"/>
      <c r="N97" s="4"/>
      <c r="O97" s="73"/>
      <c r="P97" s="36"/>
    </row>
    <row r="98" spans="1:16" ht="17.25" customHeight="1" x14ac:dyDescent="0.3">
      <c r="A98" s="356"/>
      <c r="B98" s="277"/>
      <c r="C98" s="267"/>
      <c r="D98" s="361"/>
      <c r="E98" s="265"/>
      <c r="F98" s="31"/>
      <c r="G98" s="48"/>
      <c r="H98" s="4"/>
      <c r="I98" s="4"/>
      <c r="J98" s="4"/>
      <c r="K98" s="4"/>
      <c r="L98" s="4">
        <f>SUM(H98:K98)</f>
        <v>0</v>
      </c>
      <c r="M98" s="340"/>
      <c r="N98" s="4"/>
      <c r="O98" s="81"/>
      <c r="P98" s="36"/>
    </row>
    <row r="99" spans="1:16" ht="17.25" customHeight="1" x14ac:dyDescent="0.3">
      <c r="A99" s="356"/>
      <c r="B99" s="277"/>
      <c r="C99" s="267"/>
      <c r="D99" s="361"/>
      <c r="E99" s="265"/>
      <c r="F99" s="36"/>
      <c r="G99" s="36"/>
      <c r="H99" s="4"/>
      <c r="I99" s="4"/>
      <c r="J99" s="4"/>
      <c r="K99" s="4"/>
      <c r="L99" s="4">
        <f>SUM(H99:K99)</f>
        <v>0</v>
      </c>
      <c r="M99" s="340"/>
      <c r="N99" s="4"/>
      <c r="O99" s="73"/>
      <c r="P99" s="36"/>
    </row>
    <row r="100" spans="1:16" ht="17.25" customHeight="1" x14ac:dyDescent="0.3">
      <c r="A100" s="356"/>
      <c r="B100" s="277"/>
      <c r="C100" s="267"/>
      <c r="D100" s="361"/>
      <c r="E100" s="265"/>
      <c r="F100" s="36"/>
      <c r="G100" s="36"/>
      <c r="H100" s="4"/>
      <c r="I100" s="4"/>
      <c r="J100" s="4"/>
      <c r="K100" s="4"/>
      <c r="L100" s="4">
        <f>SUM(H100:K100)</f>
        <v>0</v>
      </c>
      <c r="M100" s="340"/>
      <c r="N100" s="4"/>
      <c r="O100" s="73"/>
      <c r="P100" s="36"/>
    </row>
    <row r="101" spans="1:16" ht="17.25" customHeight="1" thickBot="1" x14ac:dyDescent="0.35">
      <c r="A101" s="356"/>
      <c r="B101" s="278"/>
      <c r="C101" s="268"/>
      <c r="D101" s="361"/>
      <c r="E101" s="266"/>
      <c r="F101" s="332"/>
      <c r="G101" s="332"/>
      <c r="H101" s="56">
        <f>SUM(H96:H100)</f>
        <v>0</v>
      </c>
      <c r="I101" s="56">
        <f t="shared" ref="I101:L101" si="15">SUM(I96:I100)</f>
        <v>0</v>
      </c>
      <c r="J101" s="56">
        <f t="shared" si="15"/>
        <v>0</v>
      </c>
      <c r="K101" s="56">
        <f t="shared" si="15"/>
        <v>0</v>
      </c>
      <c r="L101" s="56">
        <f t="shared" si="15"/>
        <v>0</v>
      </c>
      <c r="M101" s="56"/>
      <c r="N101" s="56">
        <f>M96-L101</f>
        <v>0</v>
      </c>
      <c r="O101" s="170"/>
      <c r="P101" s="57"/>
    </row>
    <row r="102" spans="1:16" ht="17.25" customHeight="1" thickTop="1" x14ac:dyDescent="0.3">
      <c r="A102" s="356">
        <v>17</v>
      </c>
      <c r="B102" s="387"/>
      <c r="C102" s="388"/>
      <c r="D102" s="361"/>
      <c r="E102" s="269"/>
      <c r="F102" s="36"/>
      <c r="G102" s="48"/>
      <c r="H102" s="4"/>
      <c r="I102" s="4"/>
      <c r="J102" s="4"/>
      <c r="K102" s="4"/>
      <c r="L102" s="4">
        <f>SUM(H102:K102)</f>
        <v>0</v>
      </c>
      <c r="M102" s="340"/>
      <c r="N102" s="4"/>
      <c r="O102" s="73"/>
      <c r="P102" s="36"/>
    </row>
    <row r="103" spans="1:16" ht="17.25" customHeight="1" x14ac:dyDescent="0.3">
      <c r="A103" s="356"/>
      <c r="B103" s="387"/>
      <c r="C103" s="388"/>
      <c r="D103" s="361"/>
      <c r="E103" s="265"/>
      <c r="F103" s="31"/>
      <c r="G103" s="36"/>
      <c r="H103" s="4"/>
      <c r="I103" s="4"/>
      <c r="J103" s="4"/>
      <c r="K103" s="4"/>
      <c r="L103" s="4">
        <f>SUM(H103:K103)</f>
        <v>0</v>
      </c>
      <c r="M103" s="340"/>
      <c r="N103" s="4"/>
      <c r="O103" s="73"/>
      <c r="P103" s="36"/>
    </row>
    <row r="104" spans="1:16" ht="17.25" customHeight="1" x14ac:dyDescent="0.3">
      <c r="A104" s="356"/>
      <c r="B104" s="387"/>
      <c r="C104" s="388"/>
      <c r="D104" s="361"/>
      <c r="E104" s="265"/>
      <c r="F104" s="31"/>
      <c r="G104" s="48"/>
      <c r="H104" s="4"/>
      <c r="I104" s="4"/>
      <c r="J104" s="4"/>
      <c r="K104" s="4"/>
      <c r="L104" s="4">
        <f>SUM(H104:K104)</f>
        <v>0</v>
      </c>
      <c r="M104" s="340"/>
      <c r="N104" s="4"/>
      <c r="O104" s="81"/>
      <c r="P104" s="36"/>
    </row>
    <row r="105" spans="1:16" ht="17.25" customHeight="1" x14ac:dyDescent="0.3">
      <c r="A105" s="356"/>
      <c r="B105" s="387"/>
      <c r="C105" s="388"/>
      <c r="D105" s="361"/>
      <c r="E105" s="265"/>
      <c r="F105" s="36"/>
      <c r="G105" s="36"/>
      <c r="H105" s="4"/>
      <c r="I105" s="4"/>
      <c r="J105" s="4"/>
      <c r="K105" s="4"/>
      <c r="L105" s="4">
        <f>SUM(H105:K105)</f>
        <v>0</v>
      </c>
      <c r="M105" s="340"/>
      <c r="N105" s="4"/>
      <c r="O105" s="73"/>
      <c r="P105" s="36"/>
    </row>
    <row r="106" spans="1:16" ht="17.25" customHeight="1" x14ac:dyDescent="0.3">
      <c r="A106" s="356"/>
      <c r="B106" s="387"/>
      <c r="C106" s="388"/>
      <c r="D106" s="361"/>
      <c r="E106" s="265"/>
      <c r="F106" s="36"/>
      <c r="G106" s="36"/>
      <c r="H106" s="4"/>
      <c r="I106" s="4"/>
      <c r="J106" s="4"/>
      <c r="K106" s="4"/>
      <c r="L106" s="4">
        <f>SUM(H106:K106)</f>
        <v>0</v>
      </c>
      <c r="M106" s="340"/>
      <c r="N106" s="4"/>
      <c r="O106" s="73"/>
      <c r="P106" s="36"/>
    </row>
    <row r="107" spans="1:16" ht="17.25" customHeight="1" thickBot="1" x14ac:dyDescent="0.35">
      <c r="A107" s="356"/>
      <c r="B107" s="387"/>
      <c r="C107" s="388"/>
      <c r="D107" s="361"/>
      <c r="E107" s="266"/>
      <c r="F107" s="332"/>
      <c r="G107" s="332"/>
      <c r="H107" s="56">
        <f>SUM(H102:H106)</f>
        <v>0</v>
      </c>
      <c r="I107" s="56">
        <f t="shared" ref="I107:L107" si="16">SUM(I102:I106)</f>
        <v>0</v>
      </c>
      <c r="J107" s="56">
        <f t="shared" si="16"/>
        <v>0</v>
      </c>
      <c r="K107" s="56">
        <f t="shared" si="16"/>
        <v>0</v>
      </c>
      <c r="L107" s="56">
        <f t="shared" si="16"/>
        <v>0</v>
      </c>
      <c r="M107" s="56"/>
      <c r="N107" s="56">
        <f>M102-L107</f>
        <v>0</v>
      </c>
      <c r="O107" s="170"/>
      <c r="P107" s="57"/>
    </row>
    <row r="108" spans="1:16" ht="17.25" customHeight="1" thickTop="1" x14ac:dyDescent="0.3">
      <c r="A108" s="128"/>
      <c r="B108" s="129"/>
      <c r="C108" s="130"/>
      <c r="D108" s="127"/>
      <c r="E108" s="131"/>
      <c r="F108" s="132"/>
      <c r="G108" s="126"/>
      <c r="H108" s="56"/>
      <c r="I108" s="56"/>
      <c r="J108" s="56"/>
      <c r="K108" s="56"/>
      <c r="L108" s="56"/>
      <c r="M108" s="56"/>
      <c r="N108" s="56"/>
      <c r="O108" s="79"/>
      <c r="P108" s="56"/>
    </row>
    <row r="109" spans="1:16" ht="17.25" customHeight="1" x14ac:dyDescent="0.3">
      <c r="A109" s="372" t="s">
        <v>15</v>
      </c>
      <c r="B109" s="373"/>
      <c r="C109" s="373"/>
      <c r="D109" s="373"/>
      <c r="E109" s="373"/>
      <c r="F109" s="373"/>
      <c r="G109" s="374"/>
      <c r="H109" s="2">
        <f t="shared" ref="H109:K109" si="17">+H89+H83+H77+H71+H65+H59+H53+H47+H41+H35+H29+H23+H17+H11+H95+H101+H107</f>
        <v>4000</v>
      </c>
      <c r="I109" s="2">
        <f t="shared" si="17"/>
        <v>66000</v>
      </c>
      <c r="J109" s="2">
        <f t="shared" si="17"/>
        <v>24000</v>
      </c>
      <c r="K109" s="2">
        <f t="shared" si="17"/>
        <v>0</v>
      </c>
      <c r="L109" s="2">
        <f>+L89+L83+L77+L71+L65+L59+L53+L47+L41+L35+L29+L23+L17+L11+L95+L101+L107</f>
        <v>94000</v>
      </c>
      <c r="M109" s="2">
        <f>+M84+M78+M72+M66+M60+M54+M48+M42+M36+M30+M24+M18+M12+M6+M90+M96+M102</f>
        <v>140000</v>
      </c>
      <c r="N109" s="2">
        <f>+N89+N83+N77+N71+N65+N59+N53+N47+N41+N35+N29+N23+N17+N11+N95+N101+N107</f>
        <v>46000</v>
      </c>
      <c r="O109" s="83"/>
      <c r="P109" s="2">
        <f>+P89+P83+P77+P71+P65+P59+P53+P47+P41+P35+P29+P23+P17+P11+P95</f>
        <v>0</v>
      </c>
    </row>
  </sheetData>
  <mergeCells count="124">
    <mergeCell ref="A96:A101"/>
    <mergeCell ref="B96:B101"/>
    <mergeCell ref="C96:C101"/>
    <mergeCell ref="D96:D101"/>
    <mergeCell ref="E96:E101"/>
    <mergeCell ref="M96:M100"/>
    <mergeCell ref="F101:G101"/>
    <mergeCell ref="A102:A107"/>
    <mergeCell ref="B102:B107"/>
    <mergeCell ref="C102:C107"/>
    <mergeCell ref="D102:D107"/>
    <mergeCell ref="E102:E107"/>
    <mergeCell ref="M102:M106"/>
    <mergeCell ref="F107:G107"/>
    <mergeCell ref="A90:A95"/>
    <mergeCell ref="B90:B95"/>
    <mergeCell ref="C90:C95"/>
    <mergeCell ref="D90:D95"/>
    <mergeCell ref="E90:E95"/>
    <mergeCell ref="M90:M94"/>
    <mergeCell ref="F95:G95"/>
    <mergeCell ref="M84:M88"/>
    <mergeCell ref="F89:G89"/>
    <mergeCell ref="A84:A89"/>
    <mergeCell ref="B84:B89"/>
    <mergeCell ref="C84:C89"/>
    <mergeCell ref="D84:D89"/>
    <mergeCell ref="E84:E89"/>
    <mergeCell ref="M78:M82"/>
    <mergeCell ref="F83:G83"/>
    <mergeCell ref="A78:A83"/>
    <mergeCell ref="B78:B83"/>
    <mergeCell ref="C78:C83"/>
    <mergeCell ref="D78:D83"/>
    <mergeCell ref="E78:E83"/>
    <mergeCell ref="M66:M70"/>
    <mergeCell ref="F71:G71"/>
    <mergeCell ref="A72:A77"/>
    <mergeCell ref="B72:B77"/>
    <mergeCell ref="C72:C77"/>
    <mergeCell ref="D72:D77"/>
    <mergeCell ref="E72:E77"/>
    <mergeCell ref="M72:M76"/>
    <mergeCell ref="F77:G77"/>
    <mergeCell ref="A66:A71"/>
    <mergeCell ref="B66:B71"/>
    <mergeCell ref="C66:C71"/>
    <mergeCell ref="D66:D71"/>
    <mergeCell ref="E66:E71"/>
    <mergeCell ref="A6:A11"/>
    <mergeCell ref="B6:B11"/>
    <mergeCell ref="C6:C11"/>
    <mergeCell ref="D6:D11"/>
    <mergeCell ref="E6:E11"/>
    <mergeCell ref="A24:A29"/>
    <mergeCell ref="B24:B29"/>
    <mergeCell ref="C24:C29"/>
    <mergeCell ref="D24:D29"/>
    <mergeCell ref="E24:E29"/>
    <mergeCell ref="B12:B17"/>
    <mergeCell ref="C12:C17"/>
    <mergeCell ref="D12:D17"/>
    <mergeCell ref="E12:E17"/>
    <mergeCell ref="B60:B65"/>
    <mergeCell ref="C60:C65"/>
    <mergeCell ref="D60:D65"/>
    <mergeCell ref="E60:E65"/>
    <mergeCell ref="M60:M64"/>
    <mergeCell ref="F65:G65"/>
    <mergeCell ref="A30:A35"/>
    <mergeCell ref="B30:B35"/>
    <mergeCell ref="A54:A59"/>
    <mergeCell ref="B54:B59"/>
    <mergeCell ref="C54:C59"/>
    <mergeCell ref="D54:D59"/>
    <mergeCell ref="E54:E59"/>
    <mergeCell ref="M12:M16"/>
    <mergeCell ref="F17:G17"/>
    <mergeCell ref="A109:G109"/>
    <mergeCell ref="A36:A41"/>
    <mergeCell ref="B36:B41"/>
    <mergeCell ref="C36:C41"/>
    <mergeCell ref="D36:D41"/>
    <mergeCell ref="E36:E41"/>
    <mergeCell ref="F41:G41"/>
    <mergeCell ref="A42:A47"/>
    <mergeCell ref="B42:B47"/>
    <mergeCell ref="C42:C47"/>
    <mergeCell ref="D42:D47"/>
    <mergeCell ref="E42:E47"/>
    <mergeCell ref="A48:A53"/>
    <mergeCell ref="B48:B53"/>
    <mergeCell ref="C48:C53"/>
    <mergeCell ref="D48:D53"/>
    <mergeCell ref="M54:M58"/>
    <mergeCell ref="F59:G59"/>
    <mergeCell ref="M18:M22"/>
    <mergeCell ref="M30:M34"/>
    <mergeCell ref="M36:M40"/>
    <mergeCell ref="A60:A65"/>
    <mergeCell ref="A1:P1"/>
    <mergeCell ref="A2:P2"/>
    <mergeCell ref="A3:P3"/>
    <mergeCell ref="A4:P4"/>
    <mergeCell ref="E48:E53"/>
    <mergeCell ref="M48:M52"/>
    <mergeCell ref="F53:G53"/>
    <mergeCell ref="C30:C35"/>
    <mergeCell ref="D30:D35"/>
    <mergeCell ref="E30:E35"/>
    <mergeCell ref="A18:A23"/>
    <mergeCell ref="B18:B23"/>
    <mergeCell ref="C18:C23"/>
    <mergeCell ref="D18:D23"/>
    <mergeCell ref="E18:E23"/>
    <mergeCell ref="A12:A17"/>
    <mergeCell ref="M24:M28"/>
    <mergeCell ref="F35:G35"/>
    <mergeCell ref="F23:G23"/>
    <mergeCell ref="F29:G29"/>
    <mergeCell ref="M42:M46"/>
    <mergeCell ref="F47:G47"/>
    <mergeCell ref="M6:M10"/>
    <mergeCell ref="F11:G11"/>
  </mergeCells>
  <pageMargins left="0.16" right="0" top="0.23622047244094491" bottom="0.23622047244094491" header="0.31496062992125984" footer="0.31496062992125984"/>
  <pageSetup paperSize="9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65"/>
  <sheetViews>
    <sheetView workbookViewId="0">
      <pane xSplit="5" ySplit="5" topLeftCell="F48" activePane="bottomRight" state="frozen"/>
      <selection activeCell="D74" sqref="D74:E74"/>
      <selection pane="topRight" activeCell="D74" sqref="D74:E74"/>
      <selection pane="bottomLeft" activeCell="D74" sqref="D74:E74"/>
      <selection pane="bottomRight" activeCell="M61" sqref="M61"/>
    </sheetView>
  </sheetViews>
  <sheetFormatPr defaultRowHeight="14.4" x14ac:dyDescent="0.3"/>
  <cols>
    <col min="1" max="1" width="3.5546875" customWidth="1"/>
    <col min="2" max="2" width="27.5546875" customWidth="1"/>
    <col min="3" max="3" width="6.6640625" customWidth="1"/>
    <col min="4" max="4" width="8" style="146" customWidth="1"/>
    <col min="5" max="5" width="10.6640625" customWidth="1"/>
    <col min="6" max="6" width="7.5546875" customWidth="1"/>
    <col min="7" max="7" width="10.109375" customWidth="1"/>
    <col min="8" max="8" width="8.88671875" customWidth="1"/>
    <col min="9" max="9" width="8.5546875" customWidth="1"/>
    <col min="10" max="10" width="10" customWidth="1"/>
    <col min="11" max="11" width="7.5546875" customWidth="1"/>
    <col min="12" max="12" width="10.109375" customWidth="1"/>
    <col min="13" max="13" width="11.109375" customWidth="1"/>
    <col min="14" max="14" width="12.109375" customWidth="1"/>
    <col min="15" max="15" width="15.33203125" style="84" customWidth="1"/>
    <col min="16" max="16" width="8.88671875" customWidth="1"/>
  </cols>
  <sheetData>
    <row r="1" spans="1:16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</row>
    <row r="2" spans="1:16" ht="24.6" x14ac:dyDescent="0.4">
      <c r="A2" s="342" t="s">
        <v>11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</row>
    <row r="3" spans="1:16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</row>
    <row r="4" spans="1:16" ht="25.2" x14ac:dyDescent="0.45">
      <c r="A4" s="320" t="s">
        <v>436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  <c r="P4" s="320"/>
    </row>
    <row r="5" spans="1:16" ht="39.6" x14ac:dyDescent="0.3">
      <c r="A5" s="140" t="s">
        <v>0</v>
      </c>
      <c r="B5" s="141" t="s">
        <v>13</v>
      </c>
      <c r="C5" s="63" t="s">
        <v>14</v>
      </c>
      <c r="D5" s="55" t="s">
        <v>1</v>
      </c>
      <c r="E5" s="63" t="s">
        <v>2</v>
      </c>
      <c r="F5" s="63" t="s">
        <v>8</v>
      </c>
      <c r="G5" s="63" t="s">
        <v>9</v>
      </c>
      <c r="H5" s="63" t="s">
        <v>46</v>
      </c>
      <c r="I5" s="63" t="s">
        <v>3</v>
      </c>
      <c r="J5" s="63" t="s">
        <v>4</v>
      </c>
      <c r="K5" s="63" t="s">
        <v>5</v>
      </c>
      <c r="L5" s="63" t="s">
        <v>15</v>
      </c>
      <c r="M5" s="63" t="s">
        <v>49</v>
      </c>
      <c r="N5" s="63" t="s">
        <v>6</v>
      </c>
      <c r="O5" s="143" t="s">
        <v>7</v>
      </c>
      <c r="P5" s="63" t="s">
        <v>44</v>
      </c>
    </row>
    <row r="6" spans="1:16" ht="15.75" customHeight="1" x14ac:dyDescent="0.3">
      <c r="A6" s="353">
        <v>1</v>
      </c>
      <c r="B6" s="254" t="s">
        <v>471</v>
      </c>
      <c r="C6" s="386" t="s">
        <v>472</v>
      </c>
      <c r="D6" s="339" t="s">
        <v>468</v>
      </c>
      <c r="E6" s="394" t="s">
        <v>473</v>
      </c>
      <c r="F6" s="16">
        <v>6811</v>
      </c>
      <c r="G6" s="18" t="s">
        <v>403</v>
      </c>
      <c r="H6" s="4">
        <v>500</v>
      </c>
      <c r="I6" s="4">
        <v>4500</v>
      </c>
      <c r="J6" s="4">
        <v>3000</v>
      </c>
      <c r="K6" s="4"/>
      <c r="L6" s="4">
        <f>SUM(H6:K6)</f>
        <v>8000</v>
      </c>
      <c r="M6" s="340">
        <v>14500</v>
      </c>
      <c r="N6" s="4"/>
      <c r="O6" s="86" t="s">
        <v>295</v>
      </c>
      <c r="P6" s="16"/>
    </row>
    <row r="7" spans="1:16" ht="15.75" customHeight="1" x14ac:dyDescent="0.3">
      <c r="A7" s="353"/>
      <c r="B7" s="254"/>
      <c r="C7" s="386"/>
      <c r="D7" s="339"/>
      <c r="E7" s="386"/>
      <c r="F7" s="16"/>
      <c r="G7" s="27"/>
      <c r="H7" s="4"/>
      <c r="I7" s="4"/>
      <c r="J7" s="4"/>
      <c r="K7" s="4"/>
      <c r="L7" s="4">
        <f>SUM(H7:K7)</f>
        <v>0</v>
      </c>
      <c r="M7" s="340"/>
      <c r="N7" s="4"/>
      <c r="O7" s="71"/>
      <c r="P7" s="16"/>
    </row>
    <row r="8" spans="1:16" ht="15.75" customHeight="1" x14ac:dyDescent="0.3">
      <c r="A8" s="353"/>
      <c r="B8" s="254"/>
      <c r="C8" s="386"/>
      <c r="D8" s="339"/>
      <c r="E8" s="386"/>
      <c r="F8" s="16"/>
      <c r="G8" s="16"/>
      <c r="H8" s="4"/>
      <c r="I8" s="4"/>
      <c r="J8" s="4"/>
      <c r="K8" s="4"/>
      <c r="L8" s="4">
        <f>SUM(H8:K8)</f>
        <v>0</v>
      </c>
      <c r="M8" s="340"/>
      <c r="N8" s="4"/>
      <c r="O8" s="78"/>
      <c r="P8" s="16"/>
    </row>
    <row r="9" spans="1:16" ht="15.75" customHeight="1" x14ac:dyDescent="0.3">
      <c r="A9" s="353"/>
      <c r="B9" s="254"/>
      <c r="C9" s="386"/>
      <c r="D9" s="339"/>
      <c r="E9" s="386"/>
      <c r="F9" s="16"/>
      <c r="G9" s="16"/>
      <c r="H9" s="4"/>
      <c r="I9" s="4"/>
      <c r="J9" s="4"/>
      <c r="K9" s="4"/>
      <c r="L9" s="4">
        <f>SUM(H9:K9)</f>
        <v>0</v>
      </c>
      <c r="M9" s="340"/>
      <c r="N9" s="4"/>
      <c r="O9" s="72"/>
      <c r="P9" s="16"/>
    </row>
    <row r="10" spans="1:16" ht="15.75" customHeight="1" x14ac:dyDescent="0.3">
      <c r="A10" s="353"/>
      <c r="B10" s="254"/>
      <c r="C10" s="386"/>
      <c r="D10" s="339"/>
      <c r="E10" s="386"/>
      <c r="F10" s="16"/>
      <c r="G10" s="16"/>
      <c r="H10" s="4"/>
      <c r="I10" s="4"/>
      <c r="J10" s="4"/>
      <c r="K10" s="4"/>
      <c r="L10" s="4">
        <f>SUM(H10:K10)</f>
        <v>0</v>
      </c>
      <c r="M10" s="340"/>
      <c r="N10" s="4"/>
      <c r="O10" s="72"/>
      <c r="P10" s="16"/>
    </row>
    <row r="11" spans="1:16" ht="15.75" customHeight="1" thickBot="1" x14ac:dyDescent="0.35">
      <c r="A11" s="353"/>
      <c r="B11" s="255"/>
      <c r="C11" s="386"/>
      <c r="D11" s="339"/>
      <c r="E11" s="386"/>
      <c r="F11" s="350"/>
      <c r="G11" s="350"/>
      <c r="H11" s="56">
        <f>SUM(H6:H10)</f>
        <v>500</v>
      </c>
      <c r="I11" s="56">
        <f t="shared" ref="I11:L11" si="0">SUM(I6:I10)</f>
        <v>4500</v>
      </c>
      <c r="J11" s="56">
        <f t="shared" si="0"/>
        <v>3000</v>
      </c>
      <c r="K11" s="56">
        <f t="shared" si="0"/>
        <v>0</v>
      </c>
      <c r="L11" s="56">
        <f t="shared" si="0"/>
        <v>8000</v>
      </c>
      <c r="M11" s="56"/>
      <c r="N11" s="56">
        <f>M6-L11</f>
        <v>6500</v>
      </c>
      <c r="O11" s="101"/>
      <c r="P11" s="56"/>
    </row>
    <row r="12" spans="1:16" ht="17.25" customHeight="1" thickTop="1" x14ac:dyDescent="0.3">
      <c r="A12" s="340">
        <v>2</v>
      </c>
      <c r="B12" s="254" t="s">
        <v>587</v>
      </c>
      <c r="C12" s="257" t="s">
        <v>584</v>
      </c>
      <c r="D12" s="392" t="s">
        <v>585</v>
      </c>
      <c r="E12" s="259" t="s">
        <v>456</v>
      </c>
      <c r="F12" s="4">
        <v>6867</v>
      </c>
      <c r="G12" s="26" t="s">
        <v>588</v>
      </c>
      <c r="H12" s="4">
        <v>500</v>
      </c>
      <c r="I12" s="4">
        <v>3500</v>
      </c>
      <c r="J12" s="4">
        <v>3000</v>
      </c>
      <c r="K12" s="4"/>
      <c r="L12" s="4">
        <f>SUM(H12:K12)</f>
        <v>7000</v>
      </c>
      <c r="M12" s="340">
        <v>14500</v>
      </c>
      <c r="N12" s="4"/>
      <c r="O12" s="71" t="s">
        <v>295</v>
      </c>
      <c r="P12" s="4"/>
    </row>
    <row r="13" spans="1:16" ht="17.25" customHeight="1" x14ac:dyDescent="0.3">
      <c r="A13" s="340"/>
      <c r="B13" s="254"/>
      <c r="C13" s="257"/>
      <c r="D13" s="392"/>
      <c r="E13" s="257"/>
      <c r="F13" s="16"/>
      <c r="G13" s="4"/>
      <c r="H13" s="4"/>
      <c r="I13" s="4"/>
      <c r="J13" s="4"/>
      <c r="K13" s="4"/>
      <c r="L13" s="4">
        <f>SUM(H13:K13)</f>
        <v>0</v>
      </c>
      <c r="M13" s="340"/>
      <c r="N13" s="4"/>
      <c r="O13" s="71"/>
      <c r="P13" s="4"/>
    </row>
    <row r="14" spans="1:16" ht="17.25" customHeight="1" x14ac:dyDescent="0.3">
      <c r="A14" s="340"/>
      <c r="B14" s="254"/>
      <c r="C14" s="257"/>
      <c r="D14" s="392"/>
      <c r="E14" s="257"/>
      <c r="F14" s="16"/>
      <c r="G14" s="26"/>
      <c r="H14" s="4"/>
      <c r="I14" s="4"/>
      <c r="J14" s="4"/>
      <c r="K14" s="4"/>
      <c r="L14" s="4">
        <f>SUM(H14:K14)</f>
        <v>0</v>
      </c>
      <c r="M14" s="340"/>
      <c r="N14" s="4"/>
      <c r="O14" s="78"/>
      <c r="P14" s="4"/>
    </row>
    <row r="15" spans="1:16" ht="17.25" customHeight="1" x14ac:dyDescent="0.3">
      <c r="A15" s="340"/>
      <c r="B15" s="254"/>
      <c r="C15" s="257"/>
      <c r="D15" s="392"/>
      <c r="E15" s="257"/>
      <c r="F15" s="16"/>
      <c r="G15" s="4"/>
      <c r="H15" s="4"/>
      <c r="I15" s="4"/>
      <c r="J15" s="4"/>
      <c r="K15" s="4"/>
      <c r="L15" s="4">
        <f>SUM(H15:K15)</f>
        <v>0</v>
      </c>
      <c r="M15" s="340"/>
      <c r="N15" s="4"/>
      <c r="O15" s="71"/>
      <c r="P15" s="4"/>
    </row>
    <row r="16" spans="1:16" ht="17.25" customHeight="1" x14ac:dyDescent="0.3">
      <c r="A16" s="340"/>
      <c r="B16" s="254"/>
      <c r="C16" s="257"/>
      <c r="D16" s="392"/>
      <c r="E16" s="257"/>
      <c r="F16" s="4"/>
      <c r="G16" s="4"/>
      <c r="H16" s="4"/>
      <c r="I16" s="4"/>
      <c r="J16" s="4"/>
      <c r="K16" s="4"/>
      <c r="L16" s="4">
        <f>SUM(H16:K16)</f>
        <v>0</v>
      </c>
      <c r="M16" s="340"/>
      <c r="N16" s="4"/>
      <c r="O16" s="71"/>
      <c r="P16" s="4"/>
    </row>
    <row r="17" spans="1:16" ht="17.25" customHeight="1" thickBot="1" x14ac:dyDescent="0.35">
      <c r="A17" s="340"/>
      <c r="B17" s="255"/>
      <c r="C17" s="258"/>
      <c r="D17" s="393"/>
      <c r="E17" s="258"/>
      <c r="F17" s="350"/>
      <c r="G17" s="350"/>
      <c r="H17" s="56">
        <f>SUM(H12:H16)</f>
        <v>500</v>
      </c>
      <c r="I17" s="56">
        <f t="shared" ref="I17:L17" si="1">SUM(I12:I16)</f>
        <v>3500</v>
      </c>
      <c r="J17" s="56">
        <f t="shared" si="1"/>
        <v>3000</v>
      </c>
      <c r="K17" s="56">
        <f t="shared" si="1"/>
        <v>0</v>
      </c>
      <c r="L17" s="56">
        <f t="shared" si="1"/>
        <v>7000</v>
      </c>
      <c r="M17" s="56"/>
      <c r="N17" s="56">
        <f>M12-L17</f>
        <v>7500</v>
      </c>
      <c r="O17" s="101"/>
      <c r="P17" s="56"/>
    </row>
    <row r="18" spans="1:16" ht="17.25" customHeight="1" thickTop="1" x14ac:dyDescent="0.3">
      <c r="A18" s="356">
        <v>3</v>
      </c>
      <c r="B18" s="279" t="s">
        <v>593</v>
      </c>
      <c r="C18" s="280" t="s">
        <v>472</v>
      </c>
      <c r="D18" s="377" t="s">
        <v>25</v>
      </c>
      <c r="E18" s="375" t="s">
        <v>456</v>
      </c>
      <c r="F18" s="36">
        <v>6890</v>
      </c>
      <c r="G18" s="48" t="s">
        <v>592</v>
      </c>
      <c r="H18" s="36">
        <v>500</v>
      </c>
      <c r="I18" s="36">
        <v>11000</v>
      </c>
      <c r="J18" s="36">
        <v>3000</v>
      </c>
      <c r="K18" s="36"/>
      <c r="L18" s="36">
        <f>SUM(H18:K18)</f>
        <v>14500</v>
      </c>
      <c r="M18" s="356">
        <v>14500</v>
      </c>
      <c r="N18" s="36"/>
      <c r="O18" s="73" t="s">
        <v>295</v>
      </c>
      <c r="P18" s="36"/>
    </row>
    <row r="19" spans="1:16" ht="17.25" customHeight="1" x14ac:dyDescent="0.3">
      <c r="A19" s="356"/>
      <c r="B19" s="277"/>
      <c r="C19" s="267"/>
      <c r="D19" s="377"/>
      <c r="E19" s="267"/>
      <c r="F19" s="31"/>
      <c r="G19" s="36"/>
      <c r="H19" s="36"/>
      <c r="I19" s="36"/>
      <c r="J19" s="36"/>
      <c r="K19" s="36"/>
      <c r="L19" s="36">
        <f>SUM(H19:K19)</f>
        <v>0</v>
      </c>
      <c r="M19" s="356"/>
      <c r="N19" s="36"/>
      <c r="O19" s="73"/>
      <c r="P19" s="36"/>
    </row>
    <row r="20" spans="1:16" ht="17.25" customHeight="1" x14ac:dyDescent="0.3">
      <c r="A20" s="356"/>
      <c r="B20" s="277"/>
      <c r="C20" s="267"/>
      <c r="D20" s="377"/>
      <c r="E20" s="267"/>
      <c r="F20" s="31"/>
      <c r="G20" s="48"/>
      <c r="H20" s="36"/>
      <c r="I20" s="36"/>
      <c r="J20" s="36"/>
      <c r="K20" s="36"/>
      <c r="L20" s="36">
        <f>SUM(H20:K20)</f>
        <v>0</v>
      </c>
      <c r="M20" s="356"/>
      <c r="N20" s="36"/>
      <c r="O20" s="81"/>
      <c r="P20" s="36"/>
    </row>
    <row r="21" spans="1:16" ht="17.25" customHeight="1" x14ac:dyDescent="0.3">
      <c r="A21" s="356"/>
      <c r="B21" s="277"/>
      <c r="C21" s="267"/>
      <c r="D21" s="377"/>
      <c r="E21" s="267"/>
      <c r="F21" s="36"/>
      <c r="G21" s="36"/>
      <c r="H21" s="36"/>
      <c r="I21" s="36"/>
      <c r="J21" s="36"/>
      <c r="K21" s="36"/>
      <c r="L21" s="36">
        <f>SUM(H21:K21)</f>
        <v>0</v>
      </c>
      <c r="M21" s="356"/>
      <c r="N21" s="36"/>
      <c r="O21" s="73"/>
      <c r="P21" s="36"/>
    </row>
    <row r="22" spans="1:16" ht="17.25" customHeight="1" x14ac:dyDescent="0.3">
      <c r="A22" s="356"/>
      <c r="B22" s="277"/>
      <c r="C22" s="267"/>
      <c r="D22" s="377"/>
      <c r="E22" s="267"/>
      <c r="F22" s="36"/>
      <c r="G22" s="36"/>
      <c r="H22" s="36"/>
      <c r="I22" s="36"/>
      <c r="J22" s="36"/>
      <c r="K22" s="36"/>
      <c r="L22" s="36">
        <f>SUM(H22:K22)</f>
        <v>0</v>
      </c>
      <c r="M22" s="356"/>
      <c r="N22" s="36"/>
      <c r="O22" s="73"/>
      <c r="P22" s="36"/>
    </row>
    <row r="23" spans="1:16" ht="17.25" customHeight="1" thickBot="1" x14ac:dyDescent="0.35">
      <c r="A23" s="356"/>
      <c r="B23" s="278"/>
      <c r="C23" s="268"/>
      <c r="D23" s="378"/>
      <c r="E23" s="268"/>
      <c r="F23" s="332"/>
      <c r="G23" s="332"/>
      <c r="H23" s="57">
        <f>SUM(H18:H22)</f>
        <v>500</v>
      </c>
      <c r="I23" s="57">
        <f t="shared" ref="I23:L23" si="2">SUM(I18:I22)</f>
        <v>11000</v>
      </c>
      <c r="J23" s="57">
        <f t="shared" si="2"/>
        <v>3000</v>
      </c>
      <c r="K23" s="57">
        <f t="shared" si="2"/>
        <v>0</v>
      </c>
      <c r="L23" s="57">
        <f t="shared" si="2"/>
        <v>14500</v>
      </c>
      <c r="M23" s="57"/>
      <c r="N23" s="57">
        <f>M18-L23</f>
        <v>0</v>
      </c>
      <c r="O23" s="145"/>
      <c r="P23" s="57"/>
    </row>
    <row r="24" spans="1:16" ht="17.25" customHeight="1" thickTop="1" x14ac:dyDescent="0.3">
      <c r="A24" s="356">
        <v>4</v>
      </c>
      <c r="B24" s="279"/>
      <c r="C24" s="389"/>
      <c r="D24" s="390"/>
      <c r="E24" s="375"/>
      <c r="F24" s="36"/>
      <c r="G24" s="48"/>
      <c r="H24" s="4"/>
      <c r="I24" s="4"/>
      <c r="J24" s="4"/>
      <c r="K24" s="4"/>
      <c r="L24" s="4">
        <f>SUM(H24:K24)</f>
        <v>0</v>
      </c>
      <c r="M24" s="340"/>
      <c r="N24" s="4"/>
      <c r="O24" s="73"/>
      <c r="P24" s="36"/>
    </row>
    <row r="25" spans="1:16" ht="17.25" customHeight="1" x14ac:dyDescent="0.3">
      <c r="A25" s="356"/>
      <c r="B25" s="277"/>
      <c r="C25" s="267"/>
      <c r="D25" s="383"/>
      <c r="E25" s="276"/>
      <c r="F25" s="31"/>
      <c r="G25" s="36"/>
      <c r="H25" s="4"/>
      <c r="I25" s="4"/>
      <c r="J25" s="4"/>
      <c r="K25" s="4"/>
      <c r="L25" s="4">
        <f>SUM(H25:K25)</f>
        <v>0</v>
      </c>
      <c r="M25" s="340"/>
      <c r="N25" s="4"/>
      <c r="O25" s="73"/>
      <c r="P25" s="36"/>
    </row>
    <row r="26" spans="1:16" ht="17.25" customHeight="1" x14ac:dyDescent="0.3">
      <c r="A26" s="356"/>
      <c r="B26" s="277"/>
      <c r="C26" s="267"/>
      <c r="D26" s="383"/>
      <c r="E26" s="276"/>
      <c r="F26" s="31"/>
      <c r="G26" s="48"/>
      <c r="H26" s="4"/>
      <c r="I26" s="4"/>
      <c r="J26" s="4"/>
      <c r="K26" s="4"/>
      <c r="L26" s="4">
        <f>SUM(H26:K26)</f>
        <v>0</v>
      </c>
      <c r="M26" s="340"/>
      <c r="N26" s="4"/>
      <c r="O26" s="81"/>
      <c r="P26" s="36"/>
    </row>
    <row r="27" spans="1:16" ht="17.25" customHeight="1" x14ac:dyDescent="0.3">
      <c r="A27" s="356"/>
      <c r="B27" s="277"/>
      <c r="C27" s="267"/>
      <c r="D27" s="383"/>
      <c r="E27" s="276"/>
      <c r="F27" s="36"/>
      <c r="G27" s="36"/>
      <c r="H27" s="4"/>
      <c r="I27" s="4"/>
      <c r="J27" s="4"/>
      <c r="K27" s="4"/>
      <c r="L27" s="4">
        <f>SUM(H27:K27)</f>
        <v>0</v>
      </c>
      <c r="M27" s="340"/>
      <c r="N27" s="4"/>
      <c r="O27" s="73"/>
      <c r="P27" s="36"/>
    </row>
    <row r="28" spans="1:16" ht="17.25" customHeight="1" x14ac:dyDescent="0.3">
      <c r="A28" s="356"/>
      <c r="B28" s="277"/>
      <c r="C28" s="267"/>
      <c r="D28" s="383"/>
      <c r="E28" s="276"/>
      <c r="F28" s="36"/>
      <c r="G28" s="36"/>
      <c r="H28" s="4"/>
      <c r="I28" s="4"/>
      <c r="J28" s="4"/>
      <c r="K28" s="4"/>
      <c r="L28" s="4">
        <f>SUM(H28:K28)</f>
        <v>0</v>
      </c>
      <c r="M28" s="340"/>
      <c r="N28" s="4"/>
      <c r="O28" s="73"/>
      <c r="P28" s="36"/>
    </row>
    <row r="29" spans="1:16" ht="17.25" customHeight="1" thickBot="1" x14ac:dyDescent="0.35">
      <c r="A29" s="356"/>
      <c r="B29" s="278"/>
      <c r="C29" s="268"/>
      <c r="D29" s="384"/>
      <c r="E29" s="391"/>
      <c r="F29" s="332"/>
      <c r="G29" s="332"/>
      <c r="H29" s="56">
        <f>SUM(H24:H28)</f>
        <v>0</v>
      </c>
      <c r="I29" s="56">
        <f t="shared" ref="I29:L29" si="3">SUM(I24:I28)</f>
        <v>0</v>
      </c>
      <c r="J29" s="56">
        <f t="shared" si="3"/>
        <v>0</v>
      </c>
      <c r="K29" s="56">
        <f t="shared" si="3"/>
        <v>0</v>
      </c>
      <c r="L29" s="56">
        <f t="shared" si="3"/>
        <v>0</v>
      </c>
      <c r="M29" s="56"/>
      <c r="N29" s="56">
        <f>M24-L29</f>
        <v>0</v>
      </c>
      <c r="O29" s="145"/>
      <c r="P29" s="57"/>
    </row>
    <row r="30" spans="1:16" ht="17.25" customHeight="1" thickTop="1" x14ac:dyDescent="0.3">
      <c r="A30" s="356">
        <v>5</v>
      </c>
      <c r="B30" s="261"/>
      <c r="C30" s="264"/>
      <c r="D30" s="383"/>
      <c r="E30" s="362"/>
      <c r="F30" s="36"/>
      <c r="G30" s="48"/>
      <c r="H30" s="4"/>
      <c r="I30" s="4"/>
      <c r="J30" s="4"/>
      <c r="K30" s="4"/>
      <c r="L30" s="4">
        <f>SUM(H30:K30)</f>
        <v>0</v>
      </c>
      <c r="M30" s="340"/>
      <c r="N30" s="4"/>
      <c r="O30" s="73"/>
      <c r="P30" s="36"/>
    </row>
    <row r="31" spans="1:16" ht="17.25" customHeight="1" x14ac:dyDescent="0.3">
      <c r="A31" s="356"/>
      <c r="B31" s="262"/>
      <c r="C31" s="265"/>
      <c r="D31" s="383"/>
      <c r="E31" s="359"/>
      <c r="F31" s="31"/>
      <c r="G31" s="36"/>
      <c r="H31" s="4"/>
      <c r="I31" s="4"/>
      <c r="J31" s="4"/>
      <c r="K31" s="4"/>
      <c r="L31" s="4">
        <f>SUM(H31:K31)</f>
        <v>0</v>
      </c>
      <c r="M31" s="340"/>
      <c r="N31" s="4"/>
      <c r="O31" s="73"/>
      <c r="P31" s="36"/>
    </row>
    <row r="32" spans="1:16" ht="17.25" customHeight="1" x14ac:dyDescent="0.3">
      <c r="A32" s="356"/>
      <c r="B32" s="262"/>
      <c r="C32" s="265"/>
      <c r="D32" s="383"/>
      <c r="E32" s="359"/>
      <c r="F32" s="31"/>
      <c r="G32" s="48"/>
      <c r="H32" s="4"/>
      <c r="I32" s="4"/>
      <c r="J32" s="4"/>
      <c r="K32" s="4"/>
      <c r="L32" s="4">
        <f>SUM(H32:K32)</f>
        <v>0</v>
      </c>
      <c r="M32" s="340"/>
      <c r="N32" s="4"/>
      <c r="O32" s="81"/>
      <c r="P32" s="36"/>
    </row>
    <row r="33" spans="1:16" ht="17.25" customHeight="1" x14ac:dyDescent="0.3">
      <c r="A33" s="356"/>
      <c r="B33" s="262"/>
      <c r="C33" s="265"/>
      <c r="D33" s="383"/>
      <c r="E33" s="359"/>
      <c r="F33" s="36"/>
      <c r="G33" s="36"/>
      <c r="H33" s="4"/>
      <c r="I33" s="4"/>
      <c r="J33" s="4"/>
      <c r="K33" s="4"/>
      <c r="L33" s="4">
        <f>SUM(H33:K33)</f>
        <v>0</v>
      </c>
      <c r="M33" s="340"/>
      <c r="N33" s="4"/>
      <c r="O33" s="73"/>
      <c r="P33" s="36"/>
    </row>
    <row r="34" spans="1:16" ht="17.25" customHeight="1" x14ac:dyDescent="0.3">
      <c r="A34" s="356"/>
      <c r="B34" s="262"/>
      <c r="C34" s="265"/>
      <c r="D34" s="383"/>
      <c r="E34" s="359"/>
      <c r="F34" s="36"/>
      <c r="G34" s="36"/>
      <c r="H34" s="4"/>
      <c r="I34" s="4"/>
      <c r="J34" s="4"/>
      <c r="K34" s="4"/>
      <c r="L34" s="4">
        <f>SUM(H34:K34)</f>
        <v>0</v>
      </c>
      <c r="M34" s="340"/>
      <c r="N34" s="4"/>
      <c r="O34" s="73"/>
      <c r="P34" s="36"/>
    </row>
    <row r="35" spans="1:16" ht="17.25" customHeight="1" thickBot="1" x14ac:dyDescent="0.35">
      <c r="A35" s="356"/>
      <c r="B35" s="263"/>
      <c r="C35" s="266"/>
      <c r="D35" s="384"/>
      <c r="E35" s="359"/>
      <c r="F35" s="332"/>
      <c r="G35" s="332"/>
      <c r="H35" s="56">
        <f>SUM(H30:H34)</f>
        <v>0</v>
      </c>
      <c r="I35" s="56">
        <f t="shared" ref="I35:L35" si="4">SUM(I30:I34)</f>
        <v>0</v>
      </c>
      <c r="J35" s="56">
        <f t="shared" si="4"/>
        <v>0</v>
      </c>
      <c r="K35" s="56">
        <f t="shared" si="4"/>
        <v>0</v>
      </c>
      <c r="L35" s="56">
        <f t="shared" si="4"/>
        <v>0</v>
      </c>
      <c r="M35" s="56"/>
      <c r="N35" s="56">
        <f>M30-L35</f>
        <v>0</v>
      </c>
      <c r="O35" s="145"/>
      <c r="P35" s="57"/>
    </row>
    <row r="36" spans="1:16" ht="17.25" customHeight="1" thickTop="1" x14ac:dyDescent="0.3">
      <c r="A36" s="356">
        <v>6</v>
      </c>
      <c r="B36" s="279"/>
      <c r="C36" s="280"/>
      <c r="D36" s="383"/>
      <c r="E36" s="269"/>
      <c r="F36" s="36"/>
      <c r="G36" s="48"/>
      <c r="H36" s="4"/>
      <c r="I36" s="4"/>
      <c r="J36" s="4"/>
      <c r="K36" s="4"/>
      <c r="L36" s="4">
        <f>SUM(H36:K36)</f>
        <v>0</v>
      </c>
      <c r="M36" s="340"/>
      <c r="N36" s="4"/>
      <c r="O36" s="73"/>
      <c r="P36" s="36"/>
    </row>
    <row r="37" spans="1:16" ht="17.25" customHeight="1" x14ac:dyDescent="0.3">
      <c r="A37" s="356"/>
      <c r="B37" s="277"/>
      <c r="C37" s="267"/>
      <c r="D37" s="383"/>
      <c r="E37" s="265"/>
      <c r="F37" s="31"/>
      <c r="G37" s="36"/>
      <c r="H37" s="4"/>
      <c r="I37" s="4"/>
      <c r="J37" s="4"/>
      <c r="K37" s="4"/>
      <c r="L37" s="4">
        <f>SUM(H37:K37)</f>
        <v>0</v>
      </c>
      <c r="M37" s="340"/>
      <c r="N37" s="4"/>
      <c r="O37" s="123"/>
      <c r="P37" s="36"/>
    </row>
    <row r="38" spans="1:16" ht="17.25" customHeight="1" x14ac:dyDescent="0.3">
      <c r="A38" s="356"/>
      <c r="B38" s="277"/>
      <c r="C38" s="267"/>
      <c r="D38" s="383"/>
      <c r="E38" s="265"/>
      <c r="F38" s="31"/>
      <c r="G38" s="48"/>
      <c r="H38" s="4"/>
      <c r="I38" s="4"/>
      <c r="J38" s="4"/>
      <c r="K38" s="4"/>
      <c r="L38" s="4">
        <f>SUM(H38:K38)</f>
        <v>0</v>
      </c>
      <c r="M38" s="340"/>
      <c r="N38" s="4"/>
      <c r="O38" s="81"/>
      <c r="P38" s="36"/>
    </row>
    <row r="39" spans="1:16" ht="17.25" customHeight="1" x14ac:dyDescent="0.3">
      <c r="A39" s="356"/>
      <c r="B39" s="277"/>
      <c r="C39" s="267"/>
      <c r="D39" s="383"/>
      <c r="E39" s="265"/>
      <c r="F39" s="36"/>
      <c r="G39" s="36"/>
      <c r="H39" s="4"/>
      <c r="I39" s="4"/>
      <c r="J39" s="4"/>
      <c r="K39" s="4"/>
      <c r="L39" s="4">
        <f>SUM(H39:K39)</f>
        <v>0</v>
      </c>
      <c r="M39" s="340"/>
      <c r="N39" s="4"/>
      <c r="O39" s="73"/>
      <c r="P39" s="36"/>
    </row>
    <row r="40" spans="1:16" ht="17.25" customHeight="1" x14ac:dyDescent="0.3">
      <c r="A40" s="356"/>
      <c r="B40" s="277"/>
      <c r="C40" s="267"/>
      <c r="D40" s="383"/>
      <c r="E40" s="265"/>
      <c r="F40" s="36"/>
      <c r="G40" s="36"/>
      <c r="H40" s="4"/>
      <c r="I40" s="4"/>
      <c r="J40" s="4"/>
      <c r="K40" s="4"/>
      <c r="L40" s="4">
        <f>SUM(H40:K40)</f>
        <v>0</v>
      </c>
      <c r="M40" s="340"/>
      <c r="N40" s="4"/>
      <c r="O40" s="73"/>
      <c r="P40" s="36"/>
    </row>
    <row r="41" spans="1:16" ht="17.25" customHeight="1" thickBot="1" x14ac:dyDescent="0.35">
      <c r="A41" s="356"/>
      <c r="B41" s="278"/>
      <c r="C41" s="268"/>
      <c r="D41" s="384"/>
      <c r="E41" s="266"/>
      <c r="F41" s="332"/>
      <c r="G41" s="332"/>
      <c r="H41" s="56">
        <f>SUM(H36:H40)</f>
        <v>0</v>
      </c>
      <c r="I41" s="56">
        <f t="shared" ref="I41:L41" si="5">SUM(I36:I40)</f>
        <v>0</v>
      </c>
      <c r="J41" s="56">
        <f t="shared" si="5"/>
        <v>0</v>
      </c>
      <c r="K41" s="56">
        <f t="shared" si="5"/>
        <v>0</v>
      </c>
      <c r="L41" s="56">
        <f t="shared" si="5"/>
        <v>0</v>
      </c>
      <c r="M41" s="56"/>
      <c r="N41" s="56">
        <f>M36-L41</f>
        <v>0</v>
      </c>
      <c r="O41" s="145"/>
      <c r="P41" s="57"/>
    </row>
    <row r="42" spans="1:16" ht="17.25" customHeight="1" thickTop="1" x14ac:dyDescent="0.3">
      <c r="A42" s="356"/>
      <c r="B42" s="279"/>
      <c r="C42" s="280"/>
      <c r="D42" s="383"/>
      <c r="E42" s="269"/>
      <c r="F42" s="36"/>
      <c r="G42" s="48"/>
      <c r="H42" s="4"/>
      <c r="I42" s="4"/>
      <c r="J42" s="4"/>
      <c r="K42" s="4"/>
      <c r="L42" s="4">
        <f>SUM(H42:K42)</f>
        <v>0</v>
      </c>
      <c r="M42" s="340"/>
      <c r="N42" s="4"/>
      <c r="O42" s="73"/>
      <c r="P42" s="36"/>
    </row>
    <row r="43" spans="1:16" ht="17.25" customHeight="1" x14ac:dyDescent="0.3">
      <c r="A43" s="356"/>
      <c r="B43" s="277"/>
      <c r="C43" s="267"/>
      <c r="D43" s="383"/>
      <c r="E43" s="265"/>
      <c r="F43" s="31"/>
      <c r="G43" s="36"/>
      <c r="H43" s="4"/>
      <c r="I43" s="4"/>
      <c r="J43" s="4"/>
      <c r="K43" s="4"/>
      <c r="L43" s="4">
        <f>SUM(H43:K43)</f>
        <v>0</v>
      </c>
      <c r="M43" s="340"/>
      <c r="N43" s="4"/>
      <c r="O43" s="73"/>
      <c r="P43" s="36"/>
    </row>
    <row r="44" spans="1:16" ht="17.25" customHeight="1" x14ac:dyDescent="0.3">
      <c r="A44" s="356"/>
      <c r="B44" s="277"/>
      <c r="C44" s="267"/>
      <c r="D44" s="383"/>
      <c r="E44" s="265"/>
      <c r="F44" s="31"/>
      <c r="G44" s="48"/>
      <c r="H44" s="4"/>
      <c r="I44" s="4"/>
      <c r="J44" s="4"/>
      <c r="K44" s="4"/>
      <c r="L44" s="4">
        <f>SUM(H44:K44)</f>
        <v>0</v>
      </c>
      <c r="M44" s="340"/>
      <c r="N44" s="4"/>
      <c r="O44" s="81"/>
      <c r="P44" s="36"/>
    </row>
    <row r="45" spans="1:16" ht="17.25" customHeight="1" x14ac:dyDescent="0.3">
      <c r="A45" s="356"/>
      <c r="B45" s="277"/>
      <c r="C45" s="267"/>
      <c r="D45" s="383"/>
      <c r="E45" s="265"/>
      <c r="F45" s="36"/>
      <c r="G45" s="36"/>
      <c r="H45" s="4"/>
      <c r="I45" s="4"/>
      <c r="J45" s="4"/>
      <c r="K45" s="4"/>
      <c r="L45" s="4">
        <f>SUM(H45:K45)</f>
        <v>0</v>
      </c>
      <c r="M45" s="340"/>
      <c r="N45" s="4"/>
      <c r="O45" s="73"/>
      <c r="P45" s="36"/>
    </row>
    <row r="46" spans="1:16" ht="17.25" customHeight="1" x14ac:dyDescent="0.3">
      <c r="A46" s="356"/>
      <c r="B46" s="277"/>
      <c r="C46" s="267"/>
      <c r="D46" s="383"/>
      <c r="E46" s="265"/>
      <c r="F46" s="36"/>
      <c r="G46" s="36"/>
      <c r="H46" s="4"/>
      <c r="I46" s="4"/>
      <c r="J46" s="4"/>
      <c r="K46" s="4"/>
      <c r="L46" s="4">
        <f>SUM(H46:K46)</f>
        <v>0</v>
      </c>
      <c r="M46" s="340"/>
      <c r="N46" s="4"/>
      <c r="O46" s="73"/>
      <c r="P46" s="36"/>
    </row>
    <row r="47" spans="1:16" ht="17.25" customHeight="1" thickBot="1" x14ac:dyDescent="0.35">
      <c r="A47" s="356"/>
      <c r="B47" s="278"/>
      <c r="C47" s="268"/>
      <c r="D47" s="384"/>
      <c r="E47" s="266"/>
      <c r="F47" s="332"/>
      <c r="G47" s="332"/>
      <c r="H47" s="56">
        <f>SUM(H42:H46)</f>
        <v>0</v>
      </c>
      <c r="I47" s="56">
        <f t="shared" ref="I47:L47" si="6">SUM(I42:I46)</f>
        <v>0</v>
      </c>
      <c r="J47" s="56">
        <f t="shared" si="6"/>
        <v>0</v>
      </c>
      <c r="K47" s="56">
        <f t="shared" si="6"/>
        <v>0</v>
      </c>
      <c r="L47" s="56">
        <f t="shared" si="6"/>
        <v>0</v>
      </c>
      <c r="M47" s="56"/>
      <c r="N47" s="56">
        <f>M42-L47</f>
        <v>0</v>
      </c>
      <c r="O47" s="145"/>
      <c r="P47" s="57"/>
    </row>
    <row r="48" spans="1:16" ht="17.25" customHeight="1" thickTop="1" x14ac:dyDescent="0.3">
      <c r="A48" s="356"/>
      <c r="B48" s="261"/>
      <c r="C48" s="280"/>
      <c r="D48" s="383"/>
      <c r="E48" s="269"/>
      <c r="F48" s="36"/>
      <c r="G48" s="48"/>
      <c r="H48" s="4"/>
      <c r="I48" s="4"/>
      <c r="J48" s="4"/>
      <c r="K48" s="4"/>
      <c r="L48" s="4">
        <f>SUM(H48:K48)</f>
        <v>0</v>
      </c>
      <c r="M48" s="340"/>
      <c r="N48" s="4"/>
      <c r="O48" s="73"/>
      <c r="P48" s="36"/>
    </row>
    <row r="49" spans="1:16" ht="17.25" customHeight="1" x14ac:dyDescent="0.3">
      <c r="A49" s="356"/>
      <c r="B49" s="262"/>
      <c r="C49" s="267"/>
      <c r="D49" s="383"/>
      <c r="E49" s="265"/>
      <c r="F49" s="31"/>
      <c r="G49" s="36"/>
      <c r="H49" s="4"/>
      <c r="I49" s="4"/>
      <c r="J49" s="4"/>
      <c r="K49" s="4"/>
      <c r="L49" s="4">
        <f>SUM(H49:K49)</f>
        <v>0</v>
      </c>
      <c r="M49" s="340"/>
      <c r="N49" s="4"/>
      <c r="O49" s="73"/>
      <c r="P49" s="36"/>
    </row>
    <row r="50" spans="1:16" ht="17.25" customHeight="1" x14ac:dyDescent="0.3">
      <c r="A50" s="356"/>
      <c r="B50" s="262"/>
      <c r="C50" s="267"/>
      <c r="D50" s="383"/>
      <c r="E50" s="265"/>
      <c r="F50" s="31"/>
      <c r="G50" s="48"/>
      <c r="H50" s="4"/>
      <c r="I50" s="4"/>
      <c r="J50" s="4"/>
      <c r="K50" s="4"/>
      <c r="L50" s="4">
        <f>SUM(H50:K50)</f>
        <v>0</v>
      </c>
      <c r="M50" s="340"/>
      <c r="N50" s="4"/>
      <c r="O50" s="81"/>
      <c r="P50" s="36"/>
    </row>
    <row r="51" spans="1:16" ht="17.25" customHeight="1" x14ac:dyDescent="0.3">
      <c r="A51" s="356"/>
      <c r="B51" s="262"/>
      <c r="C51" s="267"/>
      <c r="D51" s="383"/>
      <c r="E51" s="265"/>
      <c r="F51" s="36"/>
      <c r="G51" s="36"/>
      <c r="H51" s="4"/>
      <c r="I51" s="4"/>
      <c r="J51" s="4"/>
      <c r="K51" s="4"/>
      <c r="L51" s="4">
        <f>SUM(H51:K51)</f>
        <v>0</v>
      </c>
      <c r="M51" s="340"/>
      <c r="N51" s="4"/>
      <c r="O51" s="73"/>
      <c r="P51" s="36"/>
    </row>
    <row r="52" spans="1:16" ht="17.25" customHeight="1" x14ac:dyDescent="0.3">
      <c r="A52" s="356"/>
      <c r="B52" s="262"/>
      <c r="C52" s="267"/>
      <c r="D52" s="383"/>
      <c r="E52" s="265"/>
      <c r="F52" s="36"/>
      <c r="G52" s="36"/>
      <c r="H52" s="4"/>
      <c r="I52" s="4"/>
      <c r="J52" s="4"/>
      <c r="K52" s="4"/>
      <c r="L52" s="4">
        <f>SUM(H52:K52)</f>
        <v>0</v>
      </c>
      <c r="M52" s="340"/>
      <c r="N52" s="4"/>
      <c r="O52" s="73"/>
      <c r="P52" s="36"/>
    </row>
    <row r="53" spans="1:16" ht="17.25" customHeight="1" thickBot="1" x14ac:dyDescent="0.35">
      <c r="A53" s="356"/>
      <c r="B53" s="263"/>
      <c r="C53" s="268"/>
      <c r="D53" s="384"/>
      <c r="E53" s="266"/>
      <c r="F53" s="332"/>
      <c r="G53" s="332"/>
      <c r="H53" s="56">
        <f>SUM(H48:H52)</f>
        <v>0</v>
      </c>
      <c r="I53" s="56">
        <f t="shared" ref="I53:L53" si="7">SUM(I48:I52)</f>
        <v>0</v>
      </c>
      <c r="J53" s="56">
        <f t="shared" si="7"/>
        <v>0</v>
      </c>
      <c r="K53" s="56">
        <f t="shared" si="7"/>
        <v>0</v>
      </c>
      <c r="L53" s="56">
        <f t="shared" si="7"/>
        <v>0</v>
      </c>
      <c r="M53" s="56"/>
      <c r="N53" s="56">
        <f>M48-L53</f>
        <v>0</v>
      </c>
      <c r="O53" s="145"/>
      <c r="P53" s="57"/>
    </row>
    <row r="54" spans="1:16" ht="17.25" customHeight="1" thickTop="1" x14ac:dyDescent="0.3">
      <c r="A54" s="340"/>
      <c r="B54" s="253"/>
      <c r="C54" s="256"/>
      <c r="D54" s="381"/>
      <c r="E54" s="297"/>
      <c r="F54" s="4"/>
      <c r="G54" s="5"/>
      <c r="H54" s="4"/>
      <c r="I54" s="4"/>
      <c r="J54" s="4"/>
      <c r="K54" s="4"/>
      <c r="L54" s="4">
        <f>SUM(H54:K54)</f>
        <v>0</v>
      </c>
      <c r="M54" s="340"/>
      <c r="N54" s="4"/>
      <c r="O54" s="71"/>
      <c r="P54" s="4"/>
    </row>
    <row r="55" spans="1:16" ht="17.25" customHeight="1" x14ac:dyDescent="0.3">
      <c r="A55" s="340"/>
      <c r="B55" s="254"/>
      <c r="C55" s="257"/>
      <c r="D55" s="381"/>
      <c r="E55" s="287"/>
      <c r="F55" s="16"/>
      <c r="G55" s="4"/>
      <c r="H55" s="4"/>
      <c r="I55" s="4"/>
      <c r="J55" s="4"/>
      <c r="K55" s="4"/>
      <c r="L55" s="4">
        <f>SUM(H55:K55)</f>
        <v>0</v>
      </c>
      <c r="M55" s="340"/>
      <c r="N55" s="4"/>
      <c r="O55" s="71"/>
      <c r="P55" s="4"/>
    </row>
    <row r="56" spans="1:16" ht="17.25" customHeight="1" x14ac:dyDescent="0.3">
      <c r="A56" s="340"/>
      <c r="B56" s="254"/>
      <c r="C56" s="257"/>
      <c r="D56" s="381"/>
      <c r="E56" s="287"/>
      <c r="F56" s="16"/>
      <c r="G56" s="5"/>
      <c r="H56" s="4"/>
      <c r="I56" s="4"/>
      <c r="J56" s="4"/>
      <c r="K56" s="4"/>
      <c r="L56" s="4">
        <f>SUM(H56:K56)</f>
        <v>0</v>
      </c>
      <c r="M56" s="340"/>
      <c r="N56" s="4"/>
      <c r="O56" s="78"/>
      <c r="P56" s="4"/>
    </row>
    <row r="57" spans="1:16" ht="17.25" customHeight="1" x14ac:dyDescent="0.3">
      <c r="A57" s="340"/>
      <c r="B57" s="254"/>
      <c r="C57" s="257"/>
      <c r="D57" s="381"/>
      <c r="E57" s="287"/>
      <c r="F57" s="4"/>
      <c r="G57" s="4"/>
      <c r="H57" s="4"/>
      <c r="I57" s="4"/>
      <c r="J57" s="4"/>
      <c r="K57" s="4"/>
      <c r="L57" s="4">
        <f>SUM(H57:K57)</f>
        <v>0</v>
      </c>
      <c r="M57" s="340"/>
      <c r="N57" s="4"/>
      <c r="O57" s="71"/>
      <c r="P57" s="4"/>
    </row>
    <row r="58" spans="1:16" ht="17.25" customHeight="1" x14ac:dyDescent="0.3">
      <c r="A58" s="340"/>
      <c r="B58" s="254"/>
      <c r="C58" s="257"/>
      <c r="D58" s="381"/>
      <c r="E58" s="287"/>
      <c r="F58" s="4"/>
      <c r="G58" s="4"/>
      <c r="H58" s="4"/>
      <c r="I58" s="4"/>
      <c r="J58" s="4"/>
      <c r="K58" s="4"/>
      <c r="L58" s="4">
        <f>SUM(H58:K58)</f>
        <v>0</v>
      </c>
      <c r="M58" s="340"/>
      <c r="N58" s="4"/>
      <c r="O58" s="71"/>
      <c r="P58" s="4"/>
    </row>
    <row r="59" spans="1:16" ht="17.25" customHeight="1" thickBot="1" x14ac:dyDescent="0.35">
      <c r="A59" s="340"/>
      <c r="B59" s="255"/>
      <c r="C59" s="258"/>
      <c r="D59" s="382"/>
      <c r="E59" s="288"/>
      <c r="F59" s="350"/>
      <c r="G59" s="350"/>
      <c r="H59" s="56">
        <f>SUM(H54:H58)</f>
        <v>0</v>
      </c>
      <c r="I59" s="56">
        <f t="shared" ref="I59:L59" si="8">SUM(I54:I58)</f>
        <v>0</v>
      </c>
      <c r="J59" s="56">
        <f t="shared" si="8"/>
        <v>0</v>
      </c>
      <c r="K59" s="56">
        <f t="shared" si="8"/>
        <v>0</v>
      </c>
      <c r="L59" s="56">
        <f t="shared" si="8"/>
        <v>0</v>
      </c>
      <c r="M59" s="56"/>
      <c r="N59" s="56">
        <f>M54-L59</f>
        <v>0</v>
      </c>
      <c r="O59" s="79"/>
      <c r="P59" s="56"/>
    </row>
    <row r="60" spans="1:16" ht="17.25" customHeight="1" thickTop="1" x14ac:dyDescent="0.3">
      <c r="A60" s="372" t="s">
        <v>15</v>
      </c>
      <c r="B60" s="373"/>
      <c r="C60" s="373"/>
      <c r="D60" s="373"/>
      <c r="E60" s="373"/>
      <c r="F60" s="373"/>
      <c r="G60" s="374"/>
      <c r="H60" s="2">
        <f t="shared" ref="H60:L60" si="9">+H23+H17+H11+H29+H35+H41+H47+H53+H59</f>
        <v>1500</v>
      </c>
      <c r="I60" s="2">
        <f t="shared" si="9"/>
        <v>19000</v>
      </c>
      <c r="J60" s="2">
        <f t="shared" si="9"/>
        <v>9000</v>
      </c>
      <c r="K60" s="2">
        <f t="shared" si="9"/>
        <v>0</v>
      </c>
      <c r="L60" s="2">
        <f t="shared" si="9"/>
        <v>29500</v>
      </c>
      <c r="M60" s="2">
        <f>+M18+M12+M6+M24+M30+M36+M42+M48+M54</f>
        <v>43500</v>
      </c>
      <c r="N60" s="2">
        <f>+N23+N17+N11+N29+N35+N41+N47+N53+N59</f>
        <v>14000</v>
      </c>
      <c r="O60" s="83"/>
      <c r="P60" s="2">
        <f>+P23+P17+P11+P29+P35+P41+P47+P53+P59</f>
        <v>0</v>
      </c>
    </row>
    <row r="63" spans="1:16" x14ac:dyDescent="0.3">
      <c r="C63" t="s">
        <v>34</v>
      </c>
      <c r="D63" s="146">
        <v>0</v>
      </c>
    </row>
    <row r="64" spans="1:16" x14ac:dyDescent="0.3">
      <c r="C64" t="s">
        <v>51</v>
      </c>
      <c r="D64" s="146">
        <v>6</v>
      </c>
    </row>
    <row r="65" spans="3:4" x14ac:dyDescent="0.3">
      <c r="C65" t="s">
        <v>52</v>
      </c>
      <c r="D65" s="146">
        <v>2</v>
      </c>
    </row>
  </sheetData>
  <mergeCells count="68">
    <mergeCell ref="M54:M58"/>
    <mergeCell ref="F59:G59"/>
    <mergeCell ref="A54:A59"/>
    <mergeCell ref="B54:B59"/>
    <mergeCell ref="C54:C59"/>
    <mergeCell ref="D54:D59"/>
    <mergeCell ref="E54:E59"/>
    <mergeCell ref="M42:M46"/>
    <mergeCell ref="F47:G47"/>
    <mergeCell ref="M48:M52"/>
    <mergeCell ref="F53:G53"/>
    <mergeCell ref="A48:A53"/>
    <mergeCell ref="B48:B53"/>
    <mergeCell ref="C48:C53"/>
    <mergeCell ref="D48:D53"/>
    <mergeCell ref="E48:E53"/>
    <mergeCell ref="F41:G41"/>
    <mergeCell ref="A42:A47"/>
    <mergeCell ref="B42:B47"/>
    <mergeCell ref="C42:C47"/>
    <mergeCell ref="D42:D47"/>
    <mergeCell ref="E42:E47"/>
    <mergeCell ref="A1:P1"/>
    <mergeCell ref="A2:P2"/>
    <mergeCell ref="A3:P3"/>
    <mergeCell ref="A4:P4"/>
    <mergeCell ref="M36:M40"/>
    <mergeCell ref="M6:M10"/>
    <mergeCell ref="F11:G11"/>
    <mergeCell ref="A6:A11"/>
    <mergeCell ref="B6:B11"/>
    <mergeCell ref="C6:C11"/>
    <mergeCell ref="D6:D11"/>
    <mergeCell ref="E6:E11"/>
    <mergeCell ref="M18:M22"/>
    <mergeCell ref="F23:G23"/>
    <mergeCell ref="A12:A17"/>
    <mergeCell ref="B12:B17"/>
    <mergeCell ref="C12:C17"/>
    <mergeCell ref="D12:D17"/>
    <mergeCell ref="E12:E17"/>
    <mergeCell ref="M12:M16"/>
    <mergeCell ref="F17:G17"/>
    <mergeCell ref="A60:G60"/>
    <mergeCell ref="A18:A23"/>
    <mergeCell ref="B18:B23"/>
    <mergeCell ref="C18:C23"/>
    <mergeCell ref="D18:D23"/>
    <mergeCell ref="E18:E23"/>
    <mergeCell ref="A24:A29"/>
    <mergeCell ref="B24:B29"/>
    <mergeCell ref="C24:C29"/>
    <mergeCell ref="D24:D29"/>
    <mergeCell ref="E24:E29"/>
    <mergeCell ref="A36:A41"/>
    <mergeCell ref="B36:B41"/>
    <mergeCell ref="C36:C41"/>
    <mergeCell ref="D36:D41"/>
    <mergeCell ref="E36:E41"/>
    <mergeCell ref="M24:M28"/>
    <mergeCell ref="F29:G29"/>
    <mergeCell ref="A30:A35"/>
    <mergeCell ref="B30:B35"/>
    <mergeCell ref="C30:C35"/>
    <mergeCell ref="D30:D35"/>
    <mergeCell ref="E30:E35"/>
    <mergeCell ref="M30:M34"/>
    <mergeCell ref="F35:G35"/>
  </mergeCells>
  <pageMargins left="0.16" right="0" top="0.23622047244094491" bottom="0.23622047244094491" header="0.31496062992125984" footer="0.31496062992125984"/>
  <pageSetup paperSize="9" scale="8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29"/>
  <sheetViews>
    <sheetView workbookViewId="0">
      <pane xSplit="5" ySplit="5" topLeftCell="F99" activePane="bottomRight" state="frozen"/>
      <selection pane="topRight" activeCell="F1" sqref="F1"/>
      <selection pane="bottomLeft" activeCell="A6" sqref="A6"/>
      <selection pane="bottomRight" activeCell="C102" sqref="C102:C107"/>
    </sheetView>
  </sheetViews>
  <sheetFormatPr defaultRowHeight="14.4" x14ac:dyDescent="0.3"/>
  <cols>
    <col min="1" max="1" width="3.5546875" customWidth="1"/>
    <col min="2" max="2" width="30.44140625" customWidth="1"/>
    <col min="3" max="3" width="6.5546875" bestFit="1" customWidth="1"/>
    <col min="4" max="4" width="8.88671875" customWidth="1"/>
    <col min="5" max="5" width="10.33203125" bestFit="1" customWidth="1"/>
    <col min="6" max="6" width="7.6640625" bestFit="1" customWidth="1"/>
    <col min="7" max="7" width="10.109375" customWidth="1"/>
    <col min="8" max="8" width="7.33203125" customWidth="1"/>
    <col min="9" max="9" width="8.6640625" customWidth="1"/>
    <col min="10" max="10" width="10.44140625" bestFit="1" customWidth="1"/>
    <col min="11" max="11" width="7.88671875" bestFit="1" customWidth="1"/>
    <col min="12" max="12" width="10.109375" customWidth="1"/>
    <col min="13" max="13" width="11.109375" customWidth="1"/>
    <col min="14" max="14" width="12.109375" customWidth="1"/>
    <col min="15" max="15" width="14.6640625" style="84" customWidth="1"/>
    <col min="16" max="16" width="8.88671875" customWidth="1"/>
  </cols>
  <sheetData>
    <row r="1" spans="1:16" ht="17.399999999999999" x14ac:dyDescent="0.3">
      <c r="A1" s="319" t="s">
        <v>10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</row>
    <row r="2" spans="1:16" ht="24.6" x14ac:dyDescent="0.4">
      <c r="A2" s="342" t="s">
        <v>11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</row>
    <row r="3" spans="1:16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</row>
    <row r="4" spans="1:16" ht="22.5" customHeight="1" x14ac:dyDescent="0.45">
      <c r="A4" s="395" t="s">
        <v>437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5"/>
      <c r="O4" s="395"/>
      <c r="P4" s="395"/>
    </row>
    <row r="5" spans="1:16" ht="40.200000000000003" thickBot="1" x14ac:dyDescent="0.35">
      <c r="A5" s="74" t="s">
        <v>0</v>
      </c>
      <c r="B5" s="75" t="s">
        <v>13</v>
      </c>
      <c r="C5" s="61" t="s">
        <v>14</v>
      </c>
      <c r="D5" s="76" t="s">
        <v>1</v>
      </c>
      <c r="E5" s="61" t="s">
        <v>2</v>
      </c>
      <c r="F5" s="61" t="s">
        <v>8</v>
      </c>
      <c r="G5" s="61" t="s">
        <v>9</v>
      </c>
      <c r="H5" s="61" t="s">
        <v>46</v>
      </c>
      <c r="I5" s="61" t="s">
        <v>3</v>
      </c>
      <c r="J5" s="61" t="s">
        <v>4</v>
      </c>
      <c r="K5" s="61" t="s">
        <v>5</v>
      </c>
      <c r="L5" s="61" t="s">
        <v>15</v>
      </c>
      <c r="M5" s="61" t="s">
        <v>49</v>
      </c>
      <c r="N5" s="61" t="s">
        <v>6</v>
      </c>
      <c r="O5" s="102" t="s">
        <v>7</v>
      </c>
      <c r="P5" s="61" t="s">
        <v>44</v>
      </c>
    </row>
    <row r="6" spans="1:16" ht="15" thickTop="1" x14ac:dyDescent="0.3">
      <c r="A6" s="249">
        <v>1</v>
      </c>
      <c r="B6" s="358" t="s">
        <v>296</v>
      </c>
      <c r="C6" s="359" t="s">
        <v>297</v>
      </c>
      <c r="D6" s="361" t="s">
        <v>298</v>
      </c>
      <c r="E6" s="276" t="s">
        <v>299</v>
      </c>
      <c r="F6" s="34">
        <v>6696</v>
      </c>
      <c r="G6" s="59" t="s">
        <v>275</v>
      </c>
      <c r="H6" s="34">
        <v>500</v>
      </c>
      <c r="I6" s="34">
        <v>14000</v>
      </c>
      <c r="J6" s="34">
        <v>3000</v>
      </c>
      <c r="K6" s="34"/>
      <c r="L6" s="34">
        <f>SUM(H6:K6)</f>
        <v>17500</v>
      </c>
      <c r="M6" s="249">
        <v>17500</v>
      </c>
      <c r="N6" s="34"/>
      <c r="O6" s="94" t="s">
        <v>240</v>
      </c>
      <c r="P6" s="34"/>
    </row>
    <row r="7" spans="1:16" x14ac:dyDescent="0.3">
      <c r="A7" s="249"/>
      <c r="B7" s="358"/>
      <c r="C7" s="359"/>
      <c r="D7" s="361"/>
      <c r="E7" s="267"/>
      <c r="F7" s="36"/>
      <c r="G7" s="36"/>
      <c r="H7" s="36"/>
      <c r="I7" s="36"/>
      <c r="J7" s="36"/>
      <c r="K7" s="36"/>
      <c r="L7" s="34">
        <f t="shared" ref="L7:L10" si="0">SUM(H7:K7)</f>
        <v>0</v>
      </c>
      <c r="M7" s="249"/>
      <c r="N7" s="36"/>
      <c r="O7" s="73" t="s">
        <v>295</v>
      </c>
      <c r="P7" s="36"/>
    </row>
    <row r="8" spans="1:16" x14ac:dyDescent="0.3">
      <c r="A8" s="249"/>
      <c r="B8" s="358"/>
      <c r="C8" s="359"/>
      <c r="D8" s="361"/>
      <c r="E8" s="267"/>
      <c r="F8" s="31"/>
      <c r="G8" s="36"/>
      <c r="H8" s="36"/>
      <c r="I8" s="36"/>
      <c r="J8" s="36"/>
      <c r="K8" s="36"/>
      <c r="L8" s="34">
        <f t="shared" si="0"/>
        <v>0</v>
      </c>
      <c r="M8" s="249"/>
      <c r="N8" s="36"/>
      <c r="O8" s="81"/>
      <c r="P8" s="36"/>
    </row>
    <row r="9" spans="1:16" x14ac:dyDescent="0.3">
      <c r="A9" s="249"/>
      <c r="B9" s="358"/>
      <c r="C9" s="359"/>
      <c r="D9" s="361"/>
      <c r="E9" s="267"/>
      <c r="F9" s="36"/>
      <c r="G9" s="36"/>
      <c r="H9" s="36"/>
      <c r="I9" s="36"/>
      <c r="J9" s="36"/>
      <c r="K9" s="36"/>
      <c r="L9" s="34">
        <f t="shared" si="0"/>
        <v>0</v>
      </c>
      <c r="M9" s="249"/>
      <c r="N9" s="36"/>
      <c r="O9" s="73"/>
      <c r="P9" s="36"/>
    </row>
    <row r="10" spans="1:16" ht="15" thickBot="1" x14ac:dyDescent="0.35">
      <c r="A10" s="249"/>
      <c r="B10" s="358"/>
      <c r="C10" s="359"/>
      <c r="D10" s="361"/>
      <c r="E10" s="267"/>
      <c r="F10" s="41"/>
      <c r="G10" s="41"/>
      <c r="H10" s="41"/>
      <c r="I10" s="41"/>
      <c r="J10" s="41"/>
      <c r="K10" s="41"/>
      <c r="L10" s="34">
        <f t="shared" si="0"/>
        <v>0</v>
      </c>
      <c r="M10" s="250"/>
      <c r="N10" s="41"/>
      <c r="O10" s="93"/>
      <c r="P10" s="41"/>
    </row>
    <row r="11" spans="1:16" ht="15.6" thickTop="1" thickBot="1" x14ac:dyDescent="0.35">
      <c r="A11" s="250"/>
      <c r="B11" s="358"/>
      <c r="C11" s="359"/>
      <c r="D11" s="361"/>
      <c r="E11" s="268"/>
      <c r="F11" s="251"/>
      <c r="G11" s="252"/>
      <c r="H11" s="14"/>
      <c r="I11" s="14"/>
      <c r="J11" s="14"/>
      <c r="K11" s="14"/>
      <c r="L11" s="14">
        <f>SUM(L6:L10)</f>
        <v>17500</v>
      </c>
      <c r="M11" s="14"/>
      <c r="N11" s="14">
        <f>M6-L11</f>
        <v>0</v>
      </c>
      <c r="O11" s="145"/>
      <c r="P11" s="56">
        <f t="shared" ref="P11" si="1">SUM(P6:P10)</f>
        <v>0</v>
      </c>
    </row>
    <row r="12" spans="1:16" ht="15.75" customHeight="1" thickTop="1" x14ac:dyDescent="0.3">
      <c r="A12" s="248">
        <v>2</v>
      </c>
      <c r="B12" s="360" t="s">
        <v>446</v>
      </c>
      <c r="C12" s="351" t="s">
        <v>447</v>
      </c>
      <c r="D12" s="339" t="s">
        <v>298</v>
      </c>
      <c r="E12" s="371" t="s">
        <v>448</v>
      </c>
      <c r="F12" s="3">
        <v>6773</v>
      </c>
      <c r="G12" s="7" t="s">
        <v>365</v>
      </c>
      <c r="H12" s="4">
        <v>500</v>
      </c>
      <c r="I12" s="4">
        <v>4000</v>
      </c>
      <c r="J12" s="4">
        <v>3000</v>
      </c>
      <c r="K12" s="4"/>
      <c r="L12" s="4">
        <f>SUM(H12:K12)</f>
        <v>7500</v>
      </c>
      <c r="M12" s="340">
        <v>17500</v>
      </c>
      <c r="N12" s="4"/>
      <c r="O12" s="89" t="s">
        <v>295</v>
      </c>
      <c r="P12" s="3"/>
    </row>
    <row r="13" spans="1:16" x14ac:dyDescent="0.3">
      <c r="A13" s="241"/>
      <c r="B13" s="360"/>
      <c r="C13" s="351"/>
      <c r="D13" s="339"/>
      <c r="E13" s="257"/>
      <c r="F13" s="16"/>
      <c r="G13" s="4"/>
      <c r="H13" s="4"/>
      <c r="I13" s="4"/>
      <c r="J13" s="4"/>
      <c r="K13" s="4"/>
      <c r="L13" s="4">
        <f>SUM(H13:K13)</f>
        <v>0</v>
      </c>
      <c r="M13" s="340"/>
      <c r="N13" s="4"/>
      <c r="O13" s="72"/>
      <c r="P13" s="4"/>
    </row>
    <row r="14" spans="1:16" x14ac:dyDescent="0.3">
      <c r="A14" s="241"/>
      <c r="B14" s="360"/>
      <c r="C14" s="351"/>
      <c r="D14" s="339"/>
      <c r="E14" s="257"/>
      <c r="F14" s="4"/>
      <c r="G14" s="4"/>
      <c r="H14" s="4"/>
      <c r="I14" s="4"/>
      <c r="J14" s="4"/>
      <c r="K14" s="4"/>
      <c r="L14" s="4">
        <f>SUM(H14:K14)</f>
        <v>0</v>
      </c>
      <c r="M14" s="340"/>
      <c r="N14" s="4"/>
      <c r="O14" s="20"/>
      <c r="P14" s="4"/>
    </row>
    <row r="15" spans="1:16" ht="15.6" x14ac:dyDescent="0.3">
      <c r="A15" s="241"/>
      <c r="B15" s="360"/>
      <c r="C15" s="351"/>
      <c r="D15" s="339"/>
      <c r="E15" s="257"/>
      <c r="F15" s="4"/>
      <c r="G15" s="4"/>
      <c r="H15" s="4"/>
      <c r="I15" s="4"/>
      <c r="J15" s="4"/>
      <c r="K15" s="4"/>
      <c r="L15" s="4">
        <f>SUM(H15:K15)</f>
        <v>0</v>
      </c>
      <c r="M15" s="340"/>
      <c r="N15" s="4"/>
      <c r="O15" s="181"/>
      <c r="P15" s="4"/>
    </row>
    <row r="16" spans="1:16" ht="15" thickBot="1" x14ac:dyDescent="0.35">
      <c r="A16" s="241"/>
      <c r="B16" s="360"/>
      <c r="C16" s="351"/>
      <c r="D16" s="339"/>
      <c r="E16" s="257"/>
      <c r="F16" s="6"/>
      <c r="G16" s="6"/>
      <c r="H16" s="4"/>
      <c r="I16" s="4"/>
      <c r="J16" s="4"/>
      <c r="K16" s="4"/>
      <c r="L16" s="4">
        <f>SUM(H16:K16)</f>
        <v>0</v>
      </c>
      <c r="M16" s="340"/>
      <c r="N16" s="4"/>
      <c r="O16" s="26"/>
      <c r="P16" s="6"/>
    </row>
    <row r="17" spans="1:16" ht="15.6" thickTop="1" thickBot="1" x14ac:dyDescent="0.35">
      <c r="A17" s="242"/>
      <c r="B17" s="360"/>
      <c r="C17" s="351"/>
      <c r="D17" s="339"/>
      <c r="E17" s="258"/>
      <c r="F17" s="243"/>
      <c r="G17" s="244"/>
      <c r="H17" s="56">
        <f>SUM(H12:H16)</f>
        <v>500</v>
      </c>
      <c r="I17" s="56">
        <f t="shared" ref="I17:L17" si="2">SUM(I12:I16)</f>
        <v>4000</v>
      </c>
      <c r="J17" s="56">
        <f t="shared" si="2"/>
        <v>3000</v>
      </c>
      <c r="K17" s="56">
        <f t="shared" si="2"/>
        <v>0</v>
      </c>
      <c r="L17" s="56">
        <f t="shared" si="2"/>
        <v>7500</v>
      </c>
      <c r="M17" s="56"/>
      <c r="N17" s="56">
        <f>M12-L17</f>
        <v>10000</v>
      </c>
      <c r="O17" s="101"/>
      <c r="P17" s="56">
        <f t="shared" ref="P17" si="3">SUM(P12:P16)</f>
        <v>0</v>
      </c>
    </row>
    <row r="18" spans="1:16" ht="15.75" customHeight="1" thickTop="1" x14ac:dyDescent="0.3">
      <c r="A18" s="248">
        <v>3</v>
      </c>
      <c r="B18" s="360" t="s">
        <v>449</v>
      </c>
      <c r="C18" s="351" t="s">
        <v>450</v>
      </c>
      <c r="D18" s="339" t="s">
        <v>298</v>
      </c>
      <c r="E18" s="270" t="s">
        <v>451</v>
      </c>
      <c r="F18" s="3">
        <v>6780</v>
      </c>
      <c r="G18" s="29" t="s">
        <v>354</v>
      </c>
      <c r="H18" s="4">
        <v>500</v>
      </c>
      <c r="I18" s="4">
        <v>6500</v>
      </c>
      <c r="J18" s="4">
        <v>3000</v>
      </c>
      <c r="K18" s="4"/>
      <c r="L18" s="4">
        <f>SUM(H18:K18)</f>
        <v>10000</v>
      </c>
      <c r="M18" s="340">
        <v>17500</v>
      </c>
      <c r="N18" s="4"/>
      <c r="O18" s="86" t="s">
        <v>295</v>
      </c>
      <c r="P18" s="3"/>
    </row>
    <row r="19" spans="1:16" x14ac:dyDescent="0.3">
      <c r="A19" s="241"/>
      <c r="B19" s="360"/>
      <c r="C19" s="351"/>
      <c r="D19" s="339"/>
      <c r="E19" s="257"/>
      <c r="F19" s="16"/>
      <c r="G19" s="4"/>
      <c r="H19" s="4"/>
      <c r="I19" s="4"/>
      <c r="J19" s="4"/>
      <c r="K19" s="4"/>
      <c r="L19" s="4">
        <f>SUM(H19:K19)</f>
        <v>0</v>
      </c>
      <c r="M19" s="340"/>
      <c r="N19" s="4"/>
      <c r="O19" s="71"/>
      <c r="P19" s="4"/>
    </row>
    <row r="20" spans="1:16" x14ac:dyDescent="0.3">
      <c r="A20" s="241"/>
      <c r="B20" s="360"/>
      <c r="C20" s="351"/>
      <c r="D20" s="339"/>
      <c r="E20" s="257"/>
      <c r="F20" s="4"/>
      <c r="G20" s="4"/>
      <c r="H20" s="4"/>
      <c r="I20" s="4"/>
      <c r="J20" s="4"/>
      <c r="K20" s="4"/>
      <c r="L20" s="4">
        <f>SUM(H20:K20)</f>
        <v>0</v>
      </c>
      <c r="M20" s="340"/>
      <c r="N20" s="4"/>
      <c r="O20" s="78"/>
      <c r="P20" s="4"/>
    </row>
    <row r="21" spans="1:16" x14ac:dyDescent="0.3">
      <c r="A21" s="241"/>
      <c r="B21" s="360"/>
      <c r="C21" s="351"/>
      <c r="D21" s="339"/>
      <c r="E21" s="257"/>
      <c r="F21" s="4"/>
      <c r="G21" s="4"/>
      <c r="H21" s="4"/>
      <c r="I21" s="4"/>
      <c r="J21" s="4"/>
      <c r="K21" s="4"/>
      <c r="L21" s="4">
        <f>SUM(H21:K21)</f>
        <v>0</v>
      </c>
      <c r="M21" s="340"/>
      <c r="N21" s="4"/>
      <c r="O21" s="71"/>
      <c r="P21" s="4"/>
    </row>
    <row r="22" spans="1:16" ht="15" thickBot="1" x14ac:dyDescent="0.35">
      <c r="A22" s="241"/>
      <c r="B22" s="360"/>
      <c r="C22" s="351"/>
      <c r="D22" s="339"/>
      <c r="E22" s="257"/>
      <c r="F22" s="6"/>
      <c r="G22" s="6"/>
      <c r="H22" s="4"/>
      <c r="I22" s="4"/>
      <c r="J22" s="4"/>
      <c r="K22" s="4"/>
      <c r="L22" s="4">
        <f>SUM(H22:K22)</f>
        <v>0</v>
      </c>
      <c r="M22" s="340"/>
      <c r="N22" s="4"/>
      <c r="O22" s="87"/>
      <c r="P22" s="6"/>
    </row>
    <row r="23" spans="1:16" ht="15.6" thickTop="1" thickBot="1" x14ac:dyDescent="0.35">
      <c r="A23" s="242"/>
      <c r="B23" s="360"/>
      <c r="C23" s="351"/>
      <c r="D23" s="339"/>
      <c r="E23" s="258"/>
      <c r="F23" s="243"/>
      <c r="G23" s="244"/>
      <c r="H23" s="56">
        <f>SUM(H18:H22)</f>
        <v>500</v>
      </c>
      <c r="I23" s="56">
        <f t="shared" ref="I23:L23" si="4">SUM(I18:I22)</f>
        <v>6500</v>
      </c>
      <c r="J23" s="56">
        <f t="shared" si="4"/>
        <v>3000</v>
      </c>
      <c r="K23" s="56">
        <f t="shared" si="4"/>
        <v>0</v>
      </c>
      <c r="L23" s="56">
        <f t="shared" si="4"/>
        <v>10000</v>
      </c>
      <c r="M23" s="56"/>
      <c r="N23" s="56">
        <f>M18-L23</f>
        <v>7500</v>
      </c>
      <c r="O23" s="101"/>
      <c r="P23" s="56">
        <f t="shared" ref="P23" si="5">SUM(P18:P22)</f>
        <v>0</v>
      </c>
    </row>
    <row r="24" spans="1:16" ht="15" thickTop="1" x14ac:dyDescent="0.3">
      <c r="A24" s="282">
        <v>4</v>
      </c>
      <c r="B24" s="360" t="s">
        <v>452</v>
      </c>
      <c r="C24" s="351" t="s">
        <v>447</v>
      </c>
      <c r="D24" s="339" t="s">
        <v>298</v>
      </c>
      <c r="E24" s="270" t="s">
        <v>451</v>
      </c>
      <c r="F24" s="20">
        <v>6785</v>
      </c>
      <c r="G24" s="22" t="s">
        <v>393</v>
      </c>
      <c r="H24" s="4">
        <v>500</v>
      </c>
      <c r="I24" s="4">
        <v>6500</v>
      </c>
      <c r="J24" s="4">
        <v>3000</v>
      </c>
      <c r="K24" s="4"/>
      <c r="L24" s="4">
        <f>SUM(H24:K24)</f>
        <v>10000</v>
      </c>
      <c r="M24" s="340">
        <v>17500</v>
      </c>
      <c r="N24" s="4"/>
      <c r="O24" s="86" t="s">
        <v>295</v>
      </c>
      <c r="P24" s="20"/>
    </row>
    <row r="25" spans="1:16" x14ac:dyDescent="0.3">
      <c r="A25" s="246"/>
      <c r="B25" s="360"/>
      <c r="C25" s="351"/>
      <c r="D25" s="339"/>
      <c r="E25" s="257"/>
      <c r="F25" s="4" t="s">
        <v>453</v>
      </c>
      <c r="G25" s="4"/>
      <c r="H25" s="4"/>
      <c r="I25" s="4"/>
      <c r="J25" s="4"/>
      <c r="K25" s="4"/>
      <c r="L25" s="4">
        <f>SUM(H25:K25)</f>
        <v>0</v>
      </c>
      <c r="M25" s="340"/>
      <c r="N25" s="4"/>
      <c r="O25" s="71"/>
      <c r="P25" s="4"/>
    </row>
    <row r="26" spans="1:16" x14ac:dyDescent="0.3">
      <c r="A26" s="246"/>
      <c r="B26" s="360"/>
      <c r="C26" s="351"/>
      <c r="D26" s="339"/>
      <c r="E26" s="257"/>
      <c r="F26" s="16"/>
      <c r="G26" s="4"/>
      <c r="H26" s="4"/>
      <c r="I26" s="4"/>
      <c r="J26" s="4"/>
      <c r="K26" s="4"/>
      <c r="L26" s="4">
        <f>SUM(H26:K26)</f>
        <v>0</v>
      </c>
      <c r="M26" s="340"/>
      <c r="N26" s="4"/>
      <c r="O26" s="78"/>
      <c r="P26" s="4"/>
    </row>
    <row r="27" spans="1:16" x14ac:dyDescent="0.3">
      <c r="A27" s="246"/>
      <c r="B27" s="360"/>
      <c r="C27" s="351"/>
      <c r="D27" s="339"/>
      <c r="E27" s="257"/>
      <c r="F27" s="4"/>
      <c r="G27" s="4"/>
      <c r="H27" s="4"/>
      <c r="I27" s="4"/>
      <c r="J27" s="4"/>
      <c r="K27" s="4"/>
      <c r="L27" s="4">
        <f>SUM(H27:K27)</f>
        <v>0</v>
      </c>
      <c r="M27" s="340"/>
      <c r="N27" s="4"/>
      <c r="O27" s="72"/>
      <c r="P27" s="4"/>
    </row>
    <row r="28" spans="1:16" ht="15" thickBot="1" x14ac:dyDescent="0.35">
      <c r="A28" s="246"/>
      <c r="B28" s="360"/>
      <c r="C28" s="351"/>
      <c r="D28" s="339"/>
      <c r="E28" s="257"/>
      <c r="F28" s="6"/>
      <c r="G28" s="6"/>
      <c r="H28" s="4"/>
      <c r="I28" s="4"/>
      <c r="J28" s="4"/>
      <c r="K28" s="4"/>
      <c r="L28" s="4">
        <f>SUM(H28:K28)</f>
        <v>0</v>
      </c>
      <c r="M28" s="340"/>
      <c r="N28" s="4"/>
      <c r="O28" s="90"/>
      <c r="P28" s="6"/>
    </row>
    <row r="29" spans="1:16" ht="15.6" thickTop="1" thickBot="1" x14ac:dyDescent="0.35">
      <c r="A29" s="247"/>
      <c r="B29" s="360"/>
      <c r="C29" s="351"/>
      <c r="D29" s="339"/>
      <c r="E29" s="258"/>
      <c r="F29" s="243"/>
      <c r="G29" s="244"/>
      <c r="H29" s="56">
        <f>SUM(H24:H28)</f>
        <v>500</v>
      </c>
      <c r="I29" s="56">
        <f t="shared" ref="I29:L29" si="6">SUM(I24:I28)</f>
        <v>6500</v>
      </c>
      <c r="J29" s="56">
        <f t="shared" si="6"/>
        <v>3000</v>
      </c>
      <c r="K29" s="56">
        <f t="shared" si="6"/>
        <v>0</v>
      </c>
      <c r="L29" s="56">
        <f t="shared" si="6"/>
        <v>10000</v>
      </c>
      <c r="M29" s="56"/>
      <c r="N29" s="56">
        <f>M24-L29</f>
        <v>7500</v>
      </c>
      <c r="O29" s="101"/>
      <c r="P29" s="56">
        <f t="shared" ref="P29" si="7">SUM(P24:P28)</f>
        <v>0</v>
      </c>
    </row>
    <row r="30" spans="1:16" ht="15" thickTop="1" x14ac:dyDescent="0.3">
      <c r="A30" s="312">
        <v>5</v>
      </c>
      <c r="B30" s="279" t="s">
        <v>454</v>
      </c>
      <c r="C30" s="280" t="s">
        <v>455</v>
      </c>
      <c r="D30" s="361" t="s">
        <v>298</v>
      </c>
      <c r="E30" s="276" t="s">
        <v>456</v>
      </c>
      <c r="F30" s="34">
        <v>6798</v>
      </c>
      <c r="G30" s="59" t="s">
        <v>413</v>
      </c>
      <c r="H30" s="36">
        <v>500</v>
      </c>
      <c r="I30" s="36">
        <v>5000</v>
      </c>
      <c r="J30" s="36">
        <v>3000</v>
      </c>
      <c r="K30" s="36"/>
      <c r="L30" s="36">
        <f>SUM(H30:K30)</f>
        <v>8500</v>
      </c>
      <c r="M30" s="356">
        <v>17500</v>
      </c>
      <c r="N30" s="36"/>
      <c r="O30" s="94" t="s">
        <v>295</v>
      </c>
      <c r="P30" s="34"/>
    </row>
    <row r="31" spans="1:16" x14ac:dyDescent="0.3">
      <c r="A31" s="313"/>
      <c r="B31" s="277"/>
      <c r="C31" s="267"/>
      <c r="D31" s="361"/>
      <c r="E31" s="267"/>
      <c r="F31" s="36">
        <v>7031</v>
      </c>
      <c r="G31" s="36" t="s">
        <v>866</v>
      </c>
      <c r="H31" s="36"/>
      <c r="I31" s="36">
        <v>9000</v>
      </c>
      <c r="J31" s="36"/>
      <c r="K31" s="36"/>
      <c r="L31" s="36">
        <f>SUM(H31:K31)</f>
        <v>9000</v>
      </c>
      <c r="M31" s="356"/>
      <c r="N31" s="36"/>
      <c r="O31" s="73"/>
      <c r="P31" s="36"/>
    </row>
    <row r="32" spans="1:16" x14ac:dyDescent="0.3">
      <c r="A32" s="313"/>
      <c r="B32" s="277"/>
      <c r="C32" s="267"/>
      <c r="D32" s="361"/>
      <c r="E32" s="267"/>
      <c r="F32" s="31"/>
      <c r="G32" s="36"/>
      <c r="H32" s="36"/>
      <c r="I32" s="36"/>
      <c r="J32" s="36"/>
      <c r="K32" s="36"/>
      <c r="L32" s="36">
        <f>SUM(H32:K32)</f>
        <v>0</v>
      </c>
      <c r="M32" s="356"/>
      <c r="N32" s="36"/>
      <c r="O32" s="81"/>
      <c r="P32" s="36"/>
    </row>
    <row r="33" spans="1:16" x14ac:dyDescent="0.3">
      <c r="A33" s="313"/>
      <c r="B33" s="277"/>
      <c r="C33" s="267"/>
      <c r="D33" s="361"/>
      <c r="E33" s="267"/>
      <c r="F33" s="36"/>
      <c r="G33" s="36"/>
      <c r="H33" s="36"/>
      <c r="I33" s="36"/>
      <c r="J33" s="36"/>
      <c r="K33" s="36"/>
      <c r="L33" s="36">
        <f>SUM(H33:K33)</f>
        <v>0</v>
      </c>
      <c r="M33" s="356"/>
      <c r="N33" s="36"/>
      <c r="O33" s="80"/>
      <c r="P33" s="36"/>
    </row>
    <row r="34" spans="1:16" ht="15" thickBot="1" x14ac:dyDescent="0.35">
      <c r="A34" s="313"/>
      <c r="B34" s="277"/>
      <c r="C34" s="267"/>
      <c r="D34" s="361"/>
      <c r="E34" s="267"/>
      <c r="F34" s="41"/>
      <c r="G34" s="41"/>
      <c r="H34" s="36"/>
      <c r="I34" s="36"/>
      <c r="J34" s="36"/>
      <c r="K34" s="36"/>
      <c r="L34" s="36">
        <f>SUM(H34:K34)</f>
        <v>0</v>
      </c>
      <c r="M34" s="356"/>
      <c r="N34" s="36"/>
      <c r="O34" s="95"/>
      <c r="P34" s="41"/>
    </row>
    <row r="35" spans="1:16" ht="15.6" thickTop="1" thickBot="1" x14ac:dyDescent="0.35">
      <c r="A35" s="314"/>
      <c r="B35" s="278"/>
      <c r="C35" s="268"/>
      <c r="D35" s="361"/>
      <c r="E35" s="268"/>
      <c r="F35" s="251"/>
      <c r="G35" s="252"/>
      <c r="H35" s="57">
        <f>SUM(H30:H34)</f>
        <v>500</v>
      </c>
      <c r="I35" s="57">
        <f t="shared" ref="I35:L35" si="8">SUM(I30:I34)</f>
        <v>14000</v>
      </c>
      <c r="J35" s="57">
        <f t="shared" si="8"/>
        <v>3000</v>
      </c>
      <c r="K35" s="57">
        <f t="shared" si="8"/>
        <v>0</v>
      </c>
      <c r="L35" s="57">
        <f t="shared" si="8"/>
        <v>17500</v>
      </c>
      <c r="M35" s="57"/>
      <c r="N35" s="57">
        <f>M30-L35</f>
        <v>0</v>
      </c>
      <c r="O35" s="145"/>
      <c r="P35" s="57">
        <f t="shared" ref="P35" si="9">SUM(P30:P34)</f>
        <v>0</v>
      </c>
    </row>
    <row r="36" spans="1:16" ht="15" thickTop="1" x14ac:dyDescent="0.3">
      <c r="A36" s="282">
        <v>6</v>
      </c>
      <c r="B36" s="253" t="s">
        <v>457</v>
      </c>
      <c r="C36" s="256" t="s">
        <v>455</v>
      </c>
      <c r="D36" s="339" t="s">
        <v>298</v>
      </c>
      <c r="E36" s="270" t="s">
        <v>456</v>
      </c>
      <c r="F36" s="20">
        <v>6799</v>
      </c>
      <c r="G36" s="22" t="s">
        <v>413</v>
      </c>
      <c r="H36" s="4">
        <v>500</v>
      </c>
      <c r="I36" s="4">
        <v>5000</v>
      </c>
      <c r="J36" s="4">
        <v>3000</v>
      </c>
      <c r="K36" s="4"/>
      <c r="L36" s="4">
        <f>SUM(H36:K36)</f>
        <v>8500</v>
      </c>
      <c r="M36" s="340">
        <v>17500</v>
      </c>
      <c r="N36" s="4"/>
      <c r="O36" s="86" t="s">
        <v>295</v>
      </c>
      <c r="P36" s="20"/>
    </row>
    <row r="37" spans="1:16" x14ac:dyDescent="0.3">
      <c r="A37" s="246"/>
      <c r="B37" s="254"/>
      <c r="C37" s="257"/>
      <c r="D37" s="339"/>
      <c r="E37" s="257"/>
      <c r="F37" s="4">
        <v>7007</v>
      </c>
      <c r="G37" s="4" t="s">
        <v>812</v>
      </c>
      <c r="H37" s="4"/>
      <c r="I37" s="4">
        <v>3500</v>
      </c>
      <c r="J37" s="4"/>
      <c r="K37" s="4"/>
      <c r="L37" s="4">
        <f>SUM(H37:K37)</f>
        <v>3500</v>
      </c>
      <c r="M37" s="340"/>
      <c r="N37" s="4"/>
      <c r="O37" s="71"/>
      <c r="P37" s="4"/>
    </row>
    <row r="38" spans="1:16" x14ac:dyDescent="0.3">
      <c r="A38" s="246"/>
      <c r="B38" s="254"/>
      <c r="C38" s="257"/>
      <c r="D38" s="339"/>
      <c r="E38" s="257"/>
      <c r="F38" s="16"/>
      <c r="G38" s="4"/>
      <c r="H38" s="4"/>
      <c r="I38" s="4"/>
      <c r="J38" s="4"/>
      <c r="K38" s="4"/>
      <c r="L38" s="4">
        <f>SUM(H38:K38)</f>
        <v>0</v>
      </c>
      <c r="M38" s="340"/>
      <c r="N38" s="4"/>
      <c r="O38" s="78"/>
      <c r="P38" s="4"/>
    </row>
    <row r="39" spans="1:16" x14ac:dyDescent="0.3">
      <c r="A39" s="246"/>
      <c r="B39" s="254"/>
      <c r="C39" s="257"/>
      <c r="D39" s="339"/>
      <c r="E39" s="257"/>
      <c r="F39" s="4"/>
      <c r="G39" s="4"/>
      <c r="H39" s="4"/>
      <c r="I39" s="4"/>
      <c r="J39" s="4"/>
      <c r="K39" s="4"/>
      <c r="L39" s="4">
        <f>SUM(H39:K39)</f>
        <v>0</v>
      </c>
      <c r="M39" s="340"/>
      <c r="N39" s="4"/>
      <c r="O39" s="72"/>
      <c r="P39" s="4"/>
    </row>
    <row r="40" spans="1:16" ht="15" thickBot="1" x14ac:dyDescent="0.35">
      <c r="A40" s="246"/>
      <c r="B40" s="254"/>
      <c r="C40" s="257"/>
      <c r="D40" s="339"/>
      <c r="E40" s="257"/>
      <c r="F40" s="6"/>
      <c r="G40" s="6"/>
      <c r="H40" s="4"/>
      <c r="I40" s="4"/>
      <c r="J40" s="4"/>
      <c r="K40" s="4"/>
      <c r="L40" s="4">
        <f>SUM(H40:K40)</f>
        <v>0</v>
      </c>
      <c r="M40" s="340"/>
      <c r="N40" s="4"/>
      <c r="O40" s="90"/>
      <c r="P40" s="6"/>
    </row>
    <row r="41" spans="1:16" ht="15.6" thickTop="1" thickBot="1" x14ac:dyDescent="0.35">
      <c r="A41" s="247"/>
      <c r="B41" s="255"/>
      <c r="C41" s="258"/>
      <c r="D41" s="339"/>
      <c r="E41" s="258"/>
      <c r="F41" s="243"/>
      <c r="G41" s="244"/>
      <c r="H41" s="56">
        <f>SUM(H36:H40)</f>
        <v>500</v>
      </c>
      <c r="I41" s="56">
        <f t="shared" ref="I41:L41" si="10">SUM(I36:I40)</f>
        <v>8500</v>
      </c>
      <c r="J41" s="56">
        <f t="shared" si="10"/>
        <v>3000</v>
      </c>
      <c r="K41" s="56">
        <f t="shared" si="10"/>
        <v>0</v>
      </c>
      <c r="L41" s="56">
        <f t="shared" si="10"/>
        <v>12000</v>
      </c>
      <c r="M41" s="56"/>
      <c r="N41" s="56">
        <f>M36-L41</f>
        <v>5500</v>
      </c>
      <c r="O41" s="101"/>
      <c r="P41" s="56">
        <f t="shared" ref="P41" si="11">SUM(P36:P40)</f>
        <v>0</v>
      </c>
    </row>
    <row r="42" spans="1:16" ht="15.75" customHeight="1" thickTop="1" x14ac:dyDescent="0.3">
      <c r="A42" s="312">
        <v>7</v>
      </c>
      <c r="B42" s="261" t="s">
        <v>458</v>
      </c>
      <c r="C42" s="264" t="s">
        <v>455</v>
      </c>
      <c r="D42" s="361" t="s">
        <v>298</v>
      </c>
      <c r="E42" s="276" t="s">
        <v>456</v>
      </c>
      <c r="F42" s="34">
        <v>6800</v>
      </c>
      <c r="G42" s="59" t="s">
        <v>413</v>
      </c>
      <c r="H42" s="36">
        <v>500</v>
      </c>
      <c r="I42" s="36">
        <v>14000</v>
      </c>
      <c r="J42" s="36">
        <v>3000</v>
      </c>
      <c r="K42" s="36"/>
      <c r="L42" s="36">
        <f>SUM(H42:K42)</f>
        <v>17500</v>
      </c>
      <c r="M42" s="356">
        <v>17500</v>
      </c>
      <c r="N42" s="36"/>
      <c r="O42" s="73" t="s">
        <v>295</v>
      </c>
      <c r="P42" s="34"/>
    </row>
    <row r="43" spans="1:16" x14ac:dyDescent="0.3">
      <c r="A43" s="313"/>
      <c r="B43" s="262"/>
      <c r="C43" s="265"/>
      <c r="D43" s="361"/>
      <c r="E43" s="267"/>
      <c r="F43" s="36"/>
      <c r="G43" s="36"/>
      <c r="H43" s="36"/>
      <c r="I43" s="36"/>
      <c r="J43" s="36"/>
      <c r="K43" s="36"/>
      <c r="L43" s="36">
        <f>SUM(H43:K43)</f>
        <v>0</v>
      </c>
      <c r="M43" s="356"/>
      <c r="N43" s="36"/>
      <c r="O43" s="123"/>
      <c r="P43" s="36"/>
    </row>
    <row r="44" spans="1:16" x14ac:dyDescent="0.3">
      <c r="A44" s="313"/>
      <c r="B44" s="262"/>
      <c r="C44" s="265"/>
      <c r="D44" s="361"/>
      <c r="E44" s="267"/>
      <c r="F44" s="31"/>
      <c r="G44" s="36"/>
      <c r="H44" s="36"/>
      <c r="I44" s="36"/>
      <c r="J44" s="36"/>
      <c r="K44" s="36"/>
      <c r="L44" s="36">
        <f>SUM(H44:K44)</f>
        <v>0</v>
      </c>
      <c r="M44" s="356"/>
      <c r="N44" s="36"/>
      <c r="O44" s="81"/>
      <c r="P44" s="36"/>
    </row>
    <row r="45" spans="1:16" x14ac:dyDescent="0.3">
      <c r="A45" s="313"/>
      <c r="B45" s="262"/>
      <c r="C45" s="265"/>
      <c r="D45" s="361"/>
      <c r="E45" s="267"/>
      <c r="F45" s="36"/>
      <c r="G45" s="36"/>
      <c r="H45" s="36"/>
      <c r="I45" s="36"/>
      <c r="J45" s="36"/>
      <c r="K45" s="36"/>
      <c r="L45" s="36">
        <f>SUM(H45:K45)</f>
        <v>0</v>
      </c>
      <c r="M45" s="356"/>
      <c r="N45" s="36"/>
      <c r="O45" s="80"/>
      <c r="P45" s="36"/>
    </row>
    <row r="46" spans="1:16" ht="15" thickBot="1" x14ac:dyDescent="0.35">
      <c r="A46" s="313"/>
      <c r="B46" s="262"/>
      <c r="C46" s="265"/>
      <c r="D46" s="361"/>
      <c r="E46" s="267"/>
      <c r="F46" s="41"/>
      <c r="G46" s="41"/>
      <c r="H46" s="36"/>
      <c r="I46" s="36"/>
      <c r="J46" s="36"/>
      <c r="K46" s="36"/>
      <c r="L46" s="36">
        <f>SUM(H46:K46)</f>
        <v>0</v>
      </c>
      <c r="M46" s="356"/>
      <c r="N46" s="36"/>
      <c r="O46" s="95"/>
      <c r="P46" s="41"/>
    </row>
    <row r="47" spans="1:16" ht="15.6" thickTop="1" thickBot="1" x14ac:dyDescent="0.35">
      <c r="A47" s="314"/>
      <c r="B47" s="263"/>
      <c r="C47" s="266"/>
      <c r="D47" s="361"/>
      <c r="E47" s="268"/>
      <c r="F47" s="251"/>
      <c r="G47" s="252"/>
      <c r="H47" s="57">
        <f>SUM(H42:H46)</f>
        <v>500</v>
      </c>
      <c r="I47" s="57">
        <f t="shared" ref="I47:L47" si="12">SUM(I42:I46)</f>
        <v>14000</v>
      </c>
      <c r="J47" s="57">
        <f t="shared" si="12"/>
        <v>3000</v>
      </c>
      <c r="K47" s="57">
        <f t="shared" si="12"/>
        <v>0</v>
      </c>
      <c r="L47" s="57">
        <f t="shared" si="12"/>
        <v>17500</v>
      </c>
      <c r="M47" s="57"/>
      <c r="N47" s="57">
        <f>M42-L47</f>
        <v>0</v>
      </c>
      <c r="O47" s="145"/>
      <c r="P47" s="56">
        <f t="shared" ref="P47" si="13">SUM(P42:P46)</f>
        <v>0</v>
      </c>
    </row>
    <row r="48" spans="1:16" ht="15.75" customHeight="1" thickTop="1" x14ac:dyDescent="0.3">
      <c r="A48" s="312">
        <v>8</v>
      </c>
      <c r="B48" s="387" t="s">
        <v>459</v>
      </c>
      <c r="C48" s="388" t="s">
        <v>460</v>
      </c>
      <c r="D48" s="361" t="s">
        <v>298</v>
      </c>
      <c r="E48" s="276" t="s">
        <v>306</v>
      </c>
      <c r="F48" s="34">
        <v>6801</v>
      </c>
      <c r="G48" s="59" t="s">
        <v>413</v>
      </c>
      <c r="H48" s="36">
        <v>500</v>
      </c>
      <c r="I48" s="36">
        <v>6500</v>
      </c>
      <c r="J48" s="36">
        <v>3000</v>
      </c>
      <c r="K48" s="36"/>
      <c r="L48" s="36">
        <f>SUM(H48:K48)</f>
        <v>10000</v>
      </c>
      <c r="M48" s="356">
        <v>17500</v>
      </c>
      <c r="N48" s="36"/>
      <c r="O48" s="94" t="s">
        <v>295</v>
      </c>
      <c r="P48" s="34"/>
    </row>
    <row r="49" spans="1:16" x14ac:dyDescent="0.3">
      <c r="A49" s="313"/>
      <c r="B49" s="387"/>
      <c r="C49" s="388"/>
      <c r="D49" s="361"/>
      <c r="E49" s="267"/>
      <c r="F49" s="36">
        <v>7043</v>
      </c>
      <c r="G49" s="36" t="s">
        <v>869</v>
      </c>
      <c r="H49" s="36"/>
      <c r="I49" s="36">
        <v>7500</v>
      </c>
      <c r="J49" s="36"/>
      <c r="K49" s="36"/>
      <c r="L49" s="36">
        <f>SUM(H49:K49)</f>
        <v>7500</v>
      </c>
      <c r="M49" s="356"/>
      <c r="N49" s="36"/>
      <c r="O49" s="94"/>
      <c r="P49" s="36"/>
    </row>
    <row r="50" spans="1:16" x14ac:dyDescent="0.3">
      <c r="A50" s="313"/>
      <c r="B50" s="387"/>
      <c r="C50" s="388"/>
      <c r="D50" s="361"/>
      <c r="E50" s="267"/>
      <c r="F50" s="31"/>
      <c r="G50" s="36"/>
      <c r="H50" s="36"/>
      <c r="I50" s="36"/>
      <c r="J50" s="36"/>
      <c r="K50" s="36"/>
      <c r="L50" s="36">
        <f>SUM(H50:K50)</f>
        <v>0</v>
      </c>
      <c r="M50" s="356"/>
      <c r="N50" s="36"/>
      <c r="O50" s="81"/>
      <c r="P50" s="36"/>
    </row>
    <row r="51" spans="1:16" x14ac:dyDescent="0.3">
      <c r="A51" s="313"/>
      <c r="B51" s="387"/>
      <c r="C51" s="388"/>
      <c r="D51" s="361"/>
      <c r="E51" s="267"/>
      <c r="F51" s="36"/>
      <c r="G51" s="36"/>
      <c r="H51" s="36"/>
      <c r="I51" s="36"/>
      <c r="J51" s="36"/>
      <c r="K51" s="36"/>
      <c r="L51" s="36">
        <f>SUM(H51:K51)</f>
        <v>0</v>
      </c>
      <c r="M51" s="356"/>
      <c r="N51" s="36"/>
      <c r="O51" s="80"/>
      <c r="P51" s="36"/>
    </row>
    <row r="52" spans="1:16" ht="15" thickBot="1" x14ac:dyDescent="0.35">
      <c r="A52" s="313"/>
      <c r="B52" s="387"/>
      <c r="C52" s="388"/>
      <c r="D52" s="361"/>
      <c r="E52" s="267"/>
      <c r="F52" s="41"/>
      <c r="G52" s="41"/>
      <c r="H52" s="36"/>
      <c r="I52" s="36"/>
      <c r="J52" s="36"/>
      <c r="K52" s="36"/>
      <c r="L52" s="36">
        <f>SUM(H52:K52)</f>
        <v>0</v>
      </c>
      <c r="M52" s="356"/>
      <c r="N52" s="36"/>
      <c r="O52" s="95"/>
      <c r="P52" s="41"/>
    </row>
    <row r="53" spans="1:16" ht="15.6" thickTop="1" thickBot="1" x14ac:dyDescent="0.35">
      <c r="A53" s="314"/>
      <c r="B53" s="387"/>
      <c r="C53" s="388"/>
      <c r="D53" s="361"/>
      <c r="E53" s="268"/>
      <c r="F53" s="251"/>
      <c r="G53" s="252"/>
      <c r="H53" s="57">
        <f>SUM(H48:H52)</f>
        <v>500</v>
      </c>
      <c r="I53" s="57">
        <f t="shared" ref="I53:L53" si="14">SUM(I48:I52)</f>
        <v>14000</v>
      </c>
      <c r="J53" s="57">
        <f t="shared" si="14"/>
        <v>3000</v>
      </c>
      <c r="K53" s="57">
        <f t="shared" si="14"/>
        <v>0</v>
      </c>
      <c r="L53" s="57">
        <f t="shared" si="14"/>
        <v>17500</v>
      </c>
      <c r="M53" s="57"/>
      <c r="N53" s="57">
        <f>M48-L53</f>
        <v>0</v>
      </c>
      <c r="O53" s="145"/>
      <c r="P53" s="57">
        <f t="shared" ref="P53" si="15">SUM(P48:P52)</f>
        <v>0</v>
      </c>
    </row>
    <row r="54" spans="1:16" ht="15" thickTop="1" x14ac:dyDescent="0.3">
      <c r="A54" s="282">
        <v>9</v>
      </c>
      <c r="B54" s="283" t="s">
        <v>461</v>
      </c>
      <c r="C54" s="286" t="s">
        <v>450</v>
      </c>
      <c r="D54" s="339" t="s">
        <v>298</v>
      </c>
      <c r="E54" s="371" t="s">
        <v>456</v>
      </c>
      <c r="F54" s="20">
        <v>6817</v>
      </c>
      <c r="G54" s="22" t="s">
        <v>462</v>
      </c>
      <c r="H54" s="4">
        <v>500</v>
      </c>
      <c r="I54" s="4">
        <v>6500</v>
      </c>
      <c r="J54" s="4">
        <v>3000</v>
      </c>
      <c r="K54" s="4"/>
      <c r="L54" s="4">
        <f>SUM(H54:K54)</f>
        <v>10000</v>
      </c>
      <c r="M54" s="340">
        <v>17500</v>
      </c>
      <c r="N54" s="4"/>
      <c r="O54" s="86" t="s">
        <v>295</v>
      </c>
      <c r="P54" s="20"/>
    </row>
    <row r="55" spans="1:16" x14ac:dyDescent="0.3">
      <c r="A55" s="246"/>
      <c r="B55" s="284"/>
      <c r="C55" s="287"/>
      <c r="D55" s="339"/>
      <c r="E55" s="257"/>
      <c r="F55" s="4"/>
      <c r="G55" s="4"/>
      <c r="H55" s="4"/>
      <c r="I55" s="4"/>
      <c r="J55" s="4"/>
      <c r="K55" s="4"/>
      <c r="L55" s="4">
        <f>SUM(H55:K55)</f>
        <v>0</v>
      </c>
      <c r="M55" s="340"/>
      <c r="N55" s="4"/>
      <c r="O55" s="71"/>
      <c r="P55" s="4"/>
    </row>
    <row r="56" spans="1:16" x14ac:dyDescent="0.3">
      <c r="A56" s="246"/>
      <c r="B56" s="284"/>
      <c r="C56" s="287"/>
      <c r="D56" s="339"/>
      <c r="E56" s="257"/>
      <c r="F56" s="16"/>
      <c r="G56" s="4"/>
      <c r="H56" s="4"/>
      <c r="I56" s="4"/>
      <c r="J56" s="4"/>
      <c r="K56" s="4"/>
      <c r="L56" s="4">
        <f>SUM(H56:K56)</f>
        <v>0</v>
      </c>
      <c r="M56" s="340"/>
      <c r="N56" s="4"/>
      <c r="O56" s="78"/>
      <c r="P56" s="4"/>
    </row>
    <row r="57" spans="1:16" x14ac:dyDescent="0.3">
      <c r="A57" s="246"/>
      <c r="B57" s="284"/>
      <c r="C57" s="287"/>
      <c r="D57" s="339"/>
      <c r="E57" s="257"/>
      <c r="F57" s="4"/>
      <c r="G57" s="4"/>
      <c r="H57" s="4"/>
      <c r="I57" s="4"/>
      <c r="J57" s="4"/>
      <c r="K57" s="4"/>
      <c r="L57" s="4">
        <f>SUM(H57:K57)</f>
        <v>0</v>
      </c>
      <c r="M57" s="340"/>
      <c r="N57" s="4"/>
      <c r="O57" s="72"/>
      <c r="P57" s="4"/>
    </row>
    <row r="58" spans="1:16" ht="15" thickBot="1" x14ac:dyDescent="0.35">
      <c r="A58" s="246"/>
      <c r="B58" s="284"/>
      <c r="C58" s="287"/>
      <c r="D58" s="339"/>
      <c r="E58" s="257"/>
      <c r="F58" s="6"/>
      <c r="G58" s="6"/>
      <c r="H58" s="4"/>
      <c r="I58" s="4"/>
      <c r="J58" s="4"/>
      <c r="K58" s="4"/>
      <c r="L58" s="4">
        <f>SUM(H58:K58)</f>
        <v>0</v>
      </c>
      <c r="M58" s="340"/>
      <c r="N58" s="4"/>
      <c r="O58" s="90"/>
      <c r="P58" s="6"/>
    </row>
    <row r="59" spans="1:16" ht="15.6" thickTop="1" thickBot="1" x14ac:dyDescent="0.35">
      <c r="A59" s="247"/>
      <c r="B59" s="285"/>
      <c r="C59" s="288"/>
      <c r="D59" s="339"/>
      <c r="E59" s="258"/>
      <c r="F59" s="243"/>
      <c r="G59" s="244"/>
      <c r="H59" s="56">
        <f>SUM(H54:H58)</f>
        <v>500</v>
      </c>
      <c r="I59" s="56">
        <f t="shared" ref="I59:L59" si="16">SUM(I54:I58)</f>
        <v>6500</v>
      </c>
      <c r="J59" s="56">
        <f t="shared" si="16"/>
        <v>3000</v>
      </c>
      <c r="K59" s="56">
        <f t="shared" si="16"/>
        <v>0</v>
      </c>
      <c r="L59" s="56">
        <f t="shared" si="16"/>
        <v>10000</v>
      </c>
      <c r="M59" s="56"/>
      <c r="N59" s="56">
        <f>M54-L59</f>
        <v>7500</v>
      </c>
      <c r="O59" s="101"/>
      <c r="P59" s="56">
        <f t="shared" ref="P59" si="17">SUM(P54:P58)</f>
        <v>0</v>
      </c>
    </row>
    <row r="60" spans="1:16" ht="15" thickTop="1" x14ac:dyDescent="0.3">
      <c r="A60" s="312">
        <v>10</v>
      </c>
      <c r="B60" s="358" t="s">
        <v>464</v>
      </c>
      <c r="C60" s="359" t="s">
        <v>463</v>
      </c>
      <c r="D60" s="361" t="s">
        <v>298</v>
      </c>
      <c r="E60" s="276" t="s">
        <v>451</v>
      </c>
      <c r="F60" s="34">
        <v>6819</v>
      </c>
      <c r="G60" s="59" t="s">
        <v>462</v>
      </c>
      <c r="H60" s="36">
        <v>500</v>
      </c>
      <c r="I60" s="36">
        <v>14000</v>
      </c>
      <c r="J60" s="36">
        <v>3000</v>
      </c>
      <c r="K60" s="36"/>
      <c r="L60" s="36">
        <f>SUM(H60:K60)</f>
        <v>17500</v>
      </c>
      <c r="M60" s="356">
        <v>17500</v>
      </c>
      <c r="N60" s="36"/>
      <c r="O60" s="94" t="s">
        <v>295</v>
      </c>
      <c r="P60" s="34"/>
    </row>
    <row r="61" spans="1:16" x14ac:dyDescent="0.3">
      <c r="A61" s="313"/>
      <c r="B61" s="358"/>
      <c r="C61" s="359"/>
      <c r="D61" s="361"/>
      <c r="E61" s="267"/>
      <c r="F61" s="36"/>
      <c r="G61" s="36"/>
      <c r="H61" s="36"/>
      <c r="I61" s="36"/>
      <c r="J61" s="36"/>
      <c r="K61" s="36"/>
      <c r="L61" s="36">
        <f>SUM(H61:K61)</f>
        <v>0</v>
      </c>
      <c r="M61" s="356"/>
      <c r="N61" s="36"/>
      <c r="O61" s="73"/>
      <c r="P61" s="36"/>
    </row>
    <row r="62" spans="1:16" x14ac:dyDescent="0.3">
      <c r="A62" s="313"/>
      <c r="B62" s="358"/>
      <c r="C62" s="359"/>
      <c r="D62" s="361"/>
      <c r="E62" s="267"/>
      <c r="F62" s="31"/>
      <c r="G62" s="36"/>
      <c r="H62" s="36"/>
      <c r="I62" s="36"/>
      <c r="J62" s="36"/>
      <c r="K62" s="36"/>
      <c r="L62" s="36">
        <f>SUM(H62:K62)</f>
        <v>0</v>
      </c>
      <c r="M62" s="356"/>
      <c r="N62" s="36"/>
      <c r="O62" s="81"/>
      <c r="P62" s="36"/>
    </row>
    <row r="63" spans="1:16" x14ac:dyDescent="0.3">
      <c r="A63" s="313"/>
      <c r="B63" s="358"/>
      <c r="C63" s="359"/>
      <c r="D63" s="361"/>
      <c r="E63" s="267"/>
      <c r="F63" s="36"/>
      <c r="G63" s="36"/>
      <c r="H63" s="36"/>
      <c r="I63" s="36"/>
      <c r="J63" s="36"/>
      <c r="K63" s="36"/>
      <c r="L63" s="36">
        <f>SUM(H63:K63)</f>
        <v>0</v>
      </c>
      <c r="M63" s="356"/>
      <c r="N63" s="36"/>
      <c r="O63" s="80"/>
      <c r="P63" s="36"/>
    </row>
    <row r="64" spans="1:16" ht="15" thickBot="1" x14ac:dyDescent="0.35">
      <c r="A64" s="313"/>
      <c r="B64" s="358"/>
      <c r="C64" s="359"/>
      <c r="D64" s="361"/>
      <c r="E64" s="267"/>
      <c r="F64" s="41"/>
      <c r="G64" s="41"/>
      <c r="H64" s="36"/>
      <c r="I64" s="36"/>
      <c r="J64" s="36"/>
      <c r="K64" s="36"/>
      <c r="L64" s="36">
        <f>SUM(H64:K64)</f>
        <v>0</v>
      </c>
      <c r="M64" s="356"/>
      <c r="N64" s="36"/>
      <c r="O64" s="95"/>
      <c r="P64" s="41"/>
    </row>
    <row r="65" spans="1:16" ht="15.6" thickTop="1" thickBot="1" x14ac:dyDescent="0.35">
      <c r="A65" s="314"/>
      <c r="B65" s="358"/>
      <c r="C65" s="359"/>
      <c r="D65" s="361"/>
      <c r="E65" s="268"/>
      <c r="F65" s="251"/>
      <c r="G65" s="252"/>
      <c r="H65" s="57">
        <f>SUM(H60:H64)</f>
        <v>500</v>
      </c>
      <c r="I65" s="57">
        <f t="shared" ref="I65:L65" si="18">SUM(I60:I64)</f>
        <v>14000</v>
      </c>
      <c r="J65" s="57">
        <f t="shared" si="18"/>
        <v>3000</v>
      </c>
      <c r="K65" s="57">
        <f t="shared" si="18"/>
        <v>0</v>
      </c>
      <c r="L65" s="57">
        <f t="shared" si="18"/>
        <v>17500</v>
      </c>
      <c r="M65" s="57"/>
      <c r="N65" s="57">
        <f>M60-L65</f>
        <v>0</v>
      </c>
      <c r="O65" s="145"/>
      <c r="P65" s="56">
        <f t="shared" ref="P65" si="19">SUM(P60:P64)</f>
        <v>0</v>
      </c>
    </row>
    <row r="66" spans="1:16" ht="15" thickTop="1" x14ac:dyDescent="0.3">
      <c r="A66" s="312">
        <v>11</v>
      </c>
      <c r="B66" s="279" t="s">
        <v>595</v>
      </c>
      <c r="C66" s="359" t="s">
        <v>460</v>
      </c>
      <c r="D66" s="361" t="s">
        <v>298</v>
      </c>
      <c r="E66" s="362" t="s">
        <v>596</v>
      </c>
      <c r="F66" s="34">
        <v>6797</v>
      </c>
      <c r="G66" s="59" t="s">
        <v>413</v>
      </c>
      <c r="H66" s="36">
        <v>500</v>
      </c>
      <c r="I66" s="36">
        <v>3500</v>
      </c>
      <c r="J66" s="36">
        <v>3000</v>
      </c>
      <c r="K66" s="36"/>
      <c r="L66" s="36">
        <f>SUM(H66:K66)</f>
        <v>7000</v>
      </c>
      <c r="M66" s="356">
        <v>17500</v>
      </c>
      <c r="N66" s="36"/>
      <c r="O66" s="94" t="s">
        <v>295</v>
      </c>
      <c r="P66" s="34"/>
    </row>
    <row r="67" spans="1:16" x14ac:dyDescent="0.3">
      <c r="A67" s="313"/>
      <c r="B67" s="277"/>
      <c r="C67" s="359"/>
      <c r="D67" s="361"/>
      <c r="E67" s="359"/>
      <c r="F67" s="36">
        <v>6978</v>
      </c>
      <c r="G67" s="36" t="s">
        <v>786</v>
      </c>
      <c r="H67" s="36"/>
      <c r="I67" s="36">
        <v>5500</v>
      </c>
      <c r="J67" s="36"/>
      <c r="K67" s="36"/>
      <c r="L67" s="36">
        <f>SUM(H67:K67)</f>
        <v>5500</v>
      </c>
      <c r="M67" s="356"/>
      <c r="N67" s="36"/>
      <c r="O67" s="73"/>
      <c r="P67" s="36"/>
    </row>
    <row r="68" spans="1:16" x14ac:dyDescent="0.3">
      <c r="A68" s="313"/>
      <c r="B68" s="277"/>
      <c r="C68" s="359"/>
      <c r="D68" s="361"/>
      <c r="E68" s="359"/>
      <c r="F68" s="31">
        <v>7085</v>
      </c>
      <c r="G68" s="36" t="s">
        <v>921</v>
      </c>
      <c r="H68" s="36"/>
      <c r="I68" s="36">
        <v>5000</v>
      </c>
      <c r="J68" s="36"/>
      <c r="K68" s="36"/>
      <c r="L68" s="36">
        <f>SUM(H68:K68)</f>
        <v>5000</v>
      </c>
      <c r="M68" s="356"/>
      <c r="N68" s="36"/>
      <c r="O68" s="81"/>
      <c r="P68" s="36"/>
    </row>
    <row r="69" spans="1:16" x14ac:dyDescent="0.3">
      <c r="A69" s="313"/>
      <c r="B69" s="277"/>
      <c r="C69" s="359"/>
      <c r="D69" s="361"/>
      <c r="E69" s="359"/>
      <c r="F69" s="36"/>
      <c r="G69" s="36"/>
      <c r="H69" s="36"/>
      <c r="I69" s="36"/>
      <c r="J69" s="36"/>
      <c r="K69" s="36"/>
      <c r="L69" s="36">
        <f>SUM(H69:K69)</f>
        <v>0</v>
      </c>
      <c r="M69" s="356"/>
      <c r="N69" s="36"/>
      <c r="O69" s="80"/>
      <c r="P69" s="36"/>
    </row>
    <row r="70" spans="1:16" ht="15" thickBot="1" x14ac:dyDescent="0.35">
      <c r="A70" s="313"/>
      <c r="B70" s="277"/>
      <c r="C70" s="359"/>
      <c r="D70" s="361"/>
      <c r="E70" s="359"/>
      <c r="F70" s="41"/>
      <c r="G70" s="41"/>
      <c r="H70" s="36"/>
      <c r="I70" s="36"/>
      <c r="J70" s="36"/>
      <c r="K70" s="36"/>
      <c r="L70" s="36">
        <f>SUM(H70:K70)</f>
        <v>0</v>
      </c>
      <c r="M70" s="356"/>
      <c r="N70" s="36"/>
      <c r="O70" s="95"/>
      <c r="P70" s="41"/>
    </row>
    <row r="71" spans="1:16" ht="15.6" thickTop="1" thickBot="1" x14ac:dyDescent="0.35">
      <c r="A71" s="314"/>
      <c r="B71" s="278"/>
      <c r="C71" s="359"/>
      <c r="D71" s="361"/>
      <c r="E71" s="359"/>
      <c r="F71" s="251"/>
      <c r="G71" s="252"/>
      <c r="H71" s="57">
        <f>SUM(H66:H70)</f>
        <v>500</v>
      </c>
      <c r="I71" s="57">
        <f t="shared" ref="I71:L71" si="20">SUM(I66:I70)</f>
        <v>14000</v>
      </c>
      <c r="J71" s="57">
        <f t="shared" si="20"/>
        <v>3000</v>
      </c>
      <c r="K71" s="57">
        <f t="shared" si="20"/>
        <v>0</v>
      </c>
      <c r="L71" s="57">
        <f t="shared" si="20"/>
        <v>17500</v>
      </c>
      <c r="M71" s="57"/>
      <c r="N71" s="57">
        <f>M66-L71</f>
        <v>0</v>
      </c>
      <c r="O71" s="145"/>
      <c r="P71" s="57">
        <f t="shared" ref="P71" si="21">SUM(P66:P70)</f>
        <v>0</v>
      </c>
    </row>
    <row r="72" spans="1:16" ht="15" thickTop="1" x14ac:dyDescent="0.3">
      <c r="A72" s="282">
        <v>12</v>
      </c>
      <c r="B72" s="283" t="s">
        <v>597</v>
      </c>
      <c r="C72" s="286" t="s">
        <v>467</v>
      </c>
      <c r="D72" s="381" t="s">
        <v>598</v>
      </c>
      <c r="E72" s="297" t="s">
        <v>456</v>
      </c>
      <c r="F72" s="20">
        <v>6850</v>
      </c>
      <c r="G72" s="22" t="s">
        <v>599</v>
      </c>
      <c r="H72" s="4">
        <v>500</v>
      </c>
      <c r="I72" s="4">
        <v>6500</v>
      </c>
      <c r="J72" s="4">
        <v>3000</v>
      </c>
      <c r="K72" s="4"/>
      <c r="L72" s="4">
        <f>SUM(H72:K72)</f>
        <v>10000</v>
      </c>
      <c r="M72" s="340">
        <v>17500</v>
      </c>
      <c r="N72" s="4"/>
      <c r="O72" s="86" t="s">
        <v>295</v>
      </c>
      <c r="P72" s="20"/>
    </row>
    <row r="73" spans="1:16" x14ac:dyDescent="0.3">
      <c r="A73" s="246"/>
      <c r="B73" s="284"/>
      <c r="C73" s="287"/>
      <c r="D73" s="381"/>
      <c r="E73" s="287"/>
      <c r="F73" s="4"/>
      <c r="G73" s="4"/>
      <c r="H73" s="4"/>
      <c r="I73" s="4"/>
      <c r="J73" s="4"/>
      <c r="K73" s="4"/>
      <c r="L73" s="4">
        <f>SUM(H73:K73)</f>
        <v>0</v>
      </c>
      <c r="M73" s="340"/>
      <c r="N73" s="4"/>
      <c r="O73" s="71"/>
      <c r="P73" s="4"/>
    </row>
    <row r="74" spans="1:16" x14ac:dyDescent="0.3">
      <c r="A74" s="246"/>
      <c r="B74" s="284"/>
      <c r="C74" s="287"/>
      <c r="D74" s="381"/>
      <c r="E74" s="287"/>
      <c r="F74" s="16"/>
      <c r="G74" s="4"/>
      <c r="H74" s="4"/>
      <c r="I74" s="4"/>
      <c r="J74" s="4"/>
      <c r="K74" s="4"/>
      <c r="L74" s="4">
        <f>SUM(H74:K74)</f>
        <v>0</v>
      </c>
      <c r="M74" s="340"/>
      <c r="N74" s="4"/>
      <c r="O74" s="78"/>
      <c r="P74" s="4"/>
    </row>
    <row r="75" spans="1:16" x14ac:dyDescent="0.3">
      <c r="A75" s="246"/>
      <c r="B75" s="284"/>
      <c r="C75" s="287"/>
      <c r="D75" s="381"/>
      <c r="E75" s="287"/>
      <c r="F75" s="4"/>
      <c r="G75" s="4"/>
      <c r="H75" s="4"/>
      <c r="I75" s="4"/>
      <c r="J75" s="4"/>
      <c r="K75" s="4"/>
      <c r="L75" s="4">
        <f>SUM(H75:K75)</f>
        <v>0</v>
      </c>
      <c r="M75" s="340"/>
      <c r="N75" s="4"/>
      <c r="O75" s="72"/>
      <c r="P75" s="4"/>
    </row>
    <row r="76" spans="1:16" ht="15" thickBot="1" x14ac:dyDescent="0.35">
      <c r="A76" s="246"/>
      <c r="B76" s="284"/>
      <c r="C76" s="287"/>
      <c r="D76" s="381"/>
      <c r="E76" s="287"/>
      <c r="F76" s="6"/>
      <c r="G76" s="6"/>
      <c r="H76" s="4"/>
      <c r="I76" s="4"/>
      <c r="J76" s="4"/>
      <c r="K76" s="4"/>
      <c r="L76" s="4">
        <f>SUM(H76:K76)</f>
        <v>0</v>
      </c>
      <c r="M76" s="340"/>
      <c r="N76" s="4"/>
      <c r="O76" s="90"/>
      <c r="P76" s="6"/>
    </row>
    <row r="77" spans="1:16" ht="15.6" thickTop="1" thickBot="1" x14ac:dyDescent="0.35">
      <c r="A77" s="247"/>
      <c r="B77" s="285"/>
      <c r="C77" s="288"/>
      <c r="D77" s="382"/>
      <c r="E77" s="288"/>
      <c r="F77" s="243"/>
      <c r="G77" s="244"/>
      <c r="H77" s="56">
        <f>SUM(H72:H76)</f>
        <v>500</v>
      </c>
      <c r="I77" s="56">
        <f t="shared" ref="I77:L77" si="22">SUM(I72:I76)</f>
        <v>6500</v>
      </c>
      <c r="J77" s="56">
        <f t="shared" si="22"/>
        <v>3000</v>
      </c>
      <c r="K77" s="56">
        <f t="shared" si="22"/>
        <v>0</v>
      </c>
      <c r="L77" s="56">
        <f t="shared" si="22"/>
        <v>10000</v>
      </c>
      <c r="M77" s="56"/>
      <c r="N77" s="56">
        <f>M72-L77</f>
        <v>7500</v>
      </c>
      <c r="O77" s="101"/>
      <c r="P77" s="56">
        <f t="shared" ref="P77" si="23">SUM(P72:P76)</f>
        <v>0</v>
      </c>
    </row>
    <row r="78" spans="1:16" ht="15" thickTop="1" x14ac:dyDescent="0.3">
      <c r="A78" s="282">
        <v>13</v>
      </c>
      <c r="B78" s="253" t="s">
        <v>600</v>
      </c>
      <c r="C78" s="256" t="s">
        <v>297</v>
      </c>
      <c r="D78" s="381" t="s">
        <v>598</v>
      </c>
      <c r="E78" s="297" t="s">
        <v>601</v>
      </c>
      <c r="F78" s="20">
        <v>6852</v>
      </c>
      <c r="G78" s="22" t="s">
        <v>602</v>
      </c>
      <c r="H78" s="4">
        <v>500</v>
      </c>
      <c r="I78" s="4">
        <v>6500</v>
      </c>
      <c r="J78" s="4">
        <v>3000</v>
      </c>
      <c r="K78" s="4"/>
      <c r="L78" s="4">
        <f>SUM(H78:K78)</f>
        <v>10000</v>
      </c>
      <c r="M78" s="340">
        <v>17500</v>
      </c>
      <c r="N78" s="4"/>
      <c r="O78" s="86" t="s">
        <v>295</v>
      </c>
      <c r="P78" s="20"/>
    </row>
    <row r="79" spans="1:16" x14ac:dyDescent="0.3">
      <c r="A79" s="246"/>
      <c r="B79" s="254"/>
      <c r="C79" s="257"/>
      <c r="D79" s="381"/>
      <c r="E79" s="287"/>
      <c r="F79" s="4"/>
      <c r="G79" s="4"/>
      <c r="H79" s="4"/>
      <c r="I79" s="4"/>
      <c r="J79" s="4"/>
      <c r="K79" s="4"/>
      <c r="L79" s="4">
        <f>SUM(H79:K79)</f>
        <v>0</v>
      </c>
      <c r="M79" s="340"/>
      <c r="N79" s="4"/>
      <c r="O79" s="71"/>
      <c r="P79" s="4"/>
    </row>
    <row r="80" spans="1:16" x14ac:dyDescent="0.3">
      <c r="A80" s="246"/>
      <c r="B80" s="254"/>
      <c r="C80" s="257"/>
      <c r="D80" s="381"/>
      <c r="E80" s="287"/>
      <c r="F80" s="16"/>
      <c r="G80" s="4"/>
      <c r="H80" s="4"/>
      <c r="I80" s="4"/>
      <c r="J80" s="4"/>
      <c r="K80" s="4"/>
      <c r="L80" s="4">
        <f>SUM(H80:K80)</f>
        <v>0</v>
      </c>
      <c r="M80" s="340"/>
      <c r="N80" s="4"/>
      <c r="O80" s="78"/>
      <c r="P80" s="4"/>
    </row>
    <row r="81" spans="1:16" x14ac:dyDescent="0.3">
      <c r="A81" s="246"/>
      <c r="B81" s="254"/>
      <c r="C81" s="257"/>
      <c r="D81" s="381"/>
      <c r="E81" s="287"/>
      <c r="F81" s="4"/>
      <c r="G81" s="4"/>
      <c r="H81" s="4"/>
      <c r="I81" s="4"/>
      <c r="J81" s="4"/>
      <c r="K81" s="4"/>
      <c r="L81" s="4">
        <f>SUM(H81:K81)</f>
        <v>0</v>
      </c>
      <c r="M81" s="340"/>
      <c r="N81" s="4"/>
      <c r="O81" s="72"/>
      <c r="P81" s="4"/>
    </row>
    <row r="82" spans="1:16" ht="15" thickBot="1" x14ac:dyDescent="0.35">
      <c r="A82" s="246"/>
      <c r="B82" s="254"/>
      <c r="C82" s="257"/>
      <c r="D82" s="381"/>
      <c r="E82" s="287"/>
      <c r="F82" s="6"/>
      <c r="G82" s="6"/>
      <c r="H82" s="4"/>
      <c r="I82" s="4"/>
      <c r="J82" s="4"/>
      <c r="K82" s="4"/>
      <c r="L82" s="4">
        <f>SUM(H82:K82)</f>
        <v>0</v>
      </c>
      <c r="M82" s="340"/>
      <c r="N82" s="4"/>
      <c r="O82" s="90"/>
      <c r="P82" s="6"/>
    </row>
    <row r="83" spans="1:16" ht="15.6" thickTop="1" thickBot="1" x14ac:dyDescent="0.35">
      <c r="A83" s="247"/>
      <c r="B83" s="255"/>
      <c r="C83" s="258"/>
      <c r="D83" s="382"/>
      <c r="E83" s="288"/>
      <c r="F83" s="243"/>
      <c r="G83" s="244"/>
      <c r="H83" s="56">
        <f>SUM(H78:H82)</f>
        <v>500</v>
      </c>
      <c r="I83" s="56">
        <f t="shared" ref="I83:L83" si="24">SUM(I78:I82)</f>
        <v>6500</v>
      </c>
      <c r="J83" s="56">
        <f t="shared" si="24"/>
        <v>3000</v>
      </c>
      <c r="K83" s="56">
        <f t="shared" si="24"/>
        <v>0</v>
      </c>
      <c r="L83" s="56">
        <f t="shared" si="24"/>
        <v>10000</v>
      </c>
      <c r="M83" s="56"/>
      <c r="N83" s="56">
        <f>M78-L83</f>
        <v>7500</v>
      </c>
      <c r="O83" s="101"/>
      <c r="P83" s="56">
        <f t="shared" ref="P83" si="25">SUM(P78:P82)</f>
        <v>0</v>
      </c>
    </row>
    <row r="84" spans="1:16" ht="15" thickTop="1" x14ac:dyDescent="0.3">
      <c r="A84" s="282">
        <v>14</v>
      </c>
      <c r="B84" s="283" t="s">
        <v>603</v>
      </c>
      <c r="C84" s="286" t="s">
        <v>463</v>
      </c>
      <c r="D84" s="381" t="s">
        <v>598</v>
      </c>
      <c r="E84" s="297" t="s">
        <v>604</v>
      </c>
      <c r="F84" s="20">
        <v>6876</v>
      </c>
      <c r="G84" s="22" t="s">
        <v>605</v>
      </c>
      <c r="H84" s="4">
        <v>500</v>
      </c>
      <c r="I84" s="4">
        <v>6500</v>
      </c>
      <c r="J84" s="4">
        <v>3000</v>
      </c>
      <c r="K84" s="4"/>
      <c r="L84" s="4">
        <f>SUM(H84:K84)</f>
        <v>10000</v>
      </c>
      <c r="M84" s="340">
        <v>17500</v>
      </c>
      <c r="N84" s="4"/>
      <c r="O84" s="86" t="s">
        <v>295</v>
      </c>
      <c r="P84" s="20"/>
    </row>
    <row r="85" spans="1:16" x14ac:dyDescent="0.3">
      <c r="A85" s="246"/>
      <c r="B85" s="284"/>
      <c r="C85" s="287"/>
      <c r="D85" s="381"/>
      <c r="E85" s="287"/>
      <c r="F85" s="4"/>
      <c r="G85" s="4"/>
      <c r="H85" s="4"/>
      <c r="I85" s="4"/>
      <c r="J85" s="4"/>
      <c r="K85" s="4"/>
      <c r="L85" s="4">
        <f>SUM(H85:K85)</f>
        <v>0</v>
      </c>
      <c r="M85" s="340"/>
      <c r="N85" s="4"/>
      <c r="O85" s="71" t="s">
        <v>240</v>
      </c>
      <c r="P85" s="4"/>
    </row>
    <row r="86" spans="1:16" x14ac:dyDescent="0.3">
      <c r="A86" s="246"/>
      <c r="B86" s="284"/>
      <c r="C86" s="287"/>
      <c r="D86" s="381"/>
      <c r="E86" s="287"/>
      <c r="F86" s="16"/>
      <c r="G86" s="4"/>
      <c r="H86" s="4"/>
      <c r="I86" s="4"/>
      <c r="J86" s="4"/>
      <c r="K86" s="4"/>
      <c r="L86" s="4">
        <f>SUM(H86:K86)</f>
        <v>0</v>
      </c>
      <c r="M86" s="340"/>
      <c r="N86" s="4"/>
      <c r="O86" s="78"/>
      <c r="P86" s="4"/>
    </row>
    <row r="87" spans="1:16" x14ac:dyDescent="0.3">
      <c r="A87" s="246"/>
      <c r="B87" s="284"/>
      <c r="C87" s="287"/>
      <c r="D87" s="381"/>
      <c r="E87" s="287"/>
      <c r="F87" s="4"/>
      <c r="G87" s="4"/>
      <c r="H87" s="4"/>
      <c r="I87" s="4"/>
      <c r="J87" s="4"/>
      <c r="K87" s="4"/>
      <c r="L87" s="4">
        <f>SUM(H87:K87)</f>
        <v>0</v>
      </c>
      <c r="M87" s="340"/>
      <c r="N87" s="4"/>
      <c r="O87" s="72"/>
      <c r="P87" s="4"/>
    </row>
    <row r="88" spans="1:16" ht="15" thickBot="1" x14ac:dyDescent="0.35">
      <c r="A88" s="246"/>
      <c r="B88" s="284"/>
      <c r="C88" s="287"/>
      <c r="D88" s="381"/>
      <c r="E88" s="287"/>
      <c r="F88" s="6"/>
      <c r="G88" s="6"/>
      <c r="H88" s="4"/>
      <c r="I88" s="4"/>
      <c r="J88" s="4"/>
      <c r="K88" s="4"/>
      <c r="L88" s="4">
        <f>SUM(H88:K88)</f>
        <v>0</v>
      </c>
      <c r="M88" s="340"/>
      <c r="N88" s="4"/>
      <c r="O88" s="90"/>
      <c r="P88" s="6"/>
    </row>
    <row r="89" spans="1:16" ht="15.6" thickTop="1" thickBot="1" x14ac:dyDescent="0.35">
      <c r="A89" s="247"/>
      <c r="B89" s="285"/>
      <c r="C89" s="288"/>
      <c r="D89" s="382"/>
      <c r="E89" s="288"/>
      <c r="F89" s="243"/>
      <c r="G89" s="244"/>
      <c r="H89" s="56">
        <f>SUM(H84:H88)</f>
        <v>500</v>
      </c>
      <c r="I89" s="56">
        <f t="shared" ref="I89:L89" si="26">SUM(I84:I88)</f>
        <v>6500</v>
      </c>
      <c r="J89" s="56">
        <f t="shared" si="26"/>
        <v>3000</v>
      </c>
      <c r="K89" s="56">
        <f t="shared" si="26"/>
        <v>0</v>
      </c>
      <c r="L89" s="56">
        <f t="shared" si="26"/>
        <v>10000</v>
      </c>
      <c r="M89" s="56"/>
      <c r="N89" s="56">
        <f>M84-L89</f>
        <v>7500</v>
      </c>
      <c r="O89" s="88"/>
      <c r="P89" s="56">
        <f t="shared" ref="P89" si="27">SUM(P84:P88)</f>
        <v>0</v>
      </c>
    </row>
    <row r="90" spans="1:16" ht="15.75" customHeight="1" thickTop="1" x14ac:dyDescent="0.3">
      <c r="A90" s="282">
        <v>15</v>
      </c>
      <c r="B90" s="283" t="s">
        <v>611</v>
      </c>
      <c r="C90" s="286" t="s">
        <v>612</v>
      </c>
      <c r="D90" s="381" t="s">
        <v>598</v>
      </c>
      <c r="E90" s="292" t="s">
        <v>601</v>
      </c>
      <c r="F90" s="20">
        <v>6949</v>
      </c>
      <c r="G90" s="22" t="s">
        <v>530</v>
      </c>
      <c r="H90" s="4">
        <v>500</v>
      </c>
      <c r="I90" s="4">
        <v>1500</v>
      </c>
      <c r="J90" s="4">
        <v>3000</v>
      </c>
      <c r="K90" s="4"/>
      <c r="L90" s="4">
        <f>SUM(H90:K90)</f>
        <v>5000</v>
      </c>
      <c r="M90" s="340">
        <v>17500</v>
      </c>
      <c r="N90" s="4"/>
      <c r="O90" s="86" t="s">
        <v>295</v>
      </c>
      <c r="P90" s="20"/>
    </row>
    <row r="91" spans="1:16" x14ac:dyDescent="0.3">
      <c r="A91" s="246"/>
      <c r="B91" s="284"/>
      <c r="C91" s="287"/>
      <c r="D91" s="381"/>
      <c r="E91" s="287"/>
      <c r="F91" s="4">
        <v>6950</v>
      </c>
      <c r="G91" s="4" t="s">
        <v>530</v>
      </c>
      <c r="H91" s="4"/>
      <c r="I91" s="4">
        <v>3000</v>
      </c>
      <c r="J91" s="4"/>
      <c r="K91" s="4"/>
      <c r="L91" s="4">
        <f>SUM(H91:K91)</f>
        <v>3000</v>
      </c>
      <c r="M91" s="340"/>
      <c r="N91" s="4"/>
      <c r="O91" s="71" t="s">
        <v>240</v>
      </c>
      <c r="P91" s="4"/>
    </row>
    <row r="92" spans="1:16" x14ac:dyDescent="0.3">
      <c r="A92" s="246"/>
      <c r="B92" s="284"/>
      <c r="C92" s="287"/>
      <c r="D92" s="381"/>
      <c r="E92" s="287"/>
      <c r="F92" s="16"/>
      <c r="G92" s="4"/>
      <c r="H92" s="4"/>
      <c r="I92" s="4"/>
      <c r="J92" s="4"/>
      <c r="K92" s="4"/>
      <c r="L92" s="4">
        <f>SUM(H92:K92)</f>
        <v>0</v>
      </c>
      <c r="M92" s="340"/>
      <c r="N92" s="4"/>
      <c r="O92" s="78"/>
      <c r="P92" s="4"/>
    </row>
    <row r="93" spans="1:16" x14ac:dyDescent="0.3">
      <c r="A93" s="246"/>
      <c r="B93" s="284"/>
      <c r="C93" s="287"/>
      <c r="D93" s="381"/>
      <c r="E93" s="287"/>
      <c r="F93" s="4"/>
      <c r="G93" s="4"/>
      <c r="H93" s="4"/>
      <c r="I93" s="4"/>
      <c r="J93" s="4"/>
      <c r="K93" s="4"/>
      <c r="L93" s="4">
        <f>SUM(H93:K93)</f>
        <v>0</v>
      </c>
      <c r="M93" s="340"/>
      <c r="N93" s="4"/>
      <c r="O93" s="72"/>
      <c r="P93" s="4"/>
    </row>
    <row r="94" spans="1:16" ht="15" thickBot="1" x14ac:dyDescent="0.35">
      <c r="A94" s="246"/>
      <c r="B94" s="284"/>
      <c r="C94" s="287"/>
      <c r="D94" s="381"/>
      <c r="E94" s="287"/>
      <c r="F94" s="6"/>
      <c r="G94" s="6"/>
      <c r="H94" s="4"/>
      <c r="I94" s="4"/>
      <c r="J94" s="4"/>
      <c r="K94" s="4"/>
      <c r="L94" s="4">
        <f>SUM(H94:K94)</f>
        <v>0</v>
      </c>
      <c r="M94" s="340"/>
      <c r="N94" s="4"/>
      <c r="O94" s="90"/>
      <c r="P94" s="6"/>
    </row>
    <row r="95" spans="1:16" ht="15.6" thickTop="1" thickBot="1" x14ac:dyDescent="0.35">
      <c r="A95" s="247"/>
      <c r="B95" s="285"/>
      <c r="C95" s="288"/>
      <c r="D95" s="382"/>
      <c r="E95" s="288"/>
      <c r="F95" s="243"/>
      <c r="G95" s="244"/>
      <c r="H95" s="56">
        <f>SUM(H90:H94)</f>
        <v>500</v>
      </c>
      <c r="I95" s="56">
        <f t="shared" ref="I95:L95" si="28">SUM(I90:I94)</f>
        <v>4500</v>
      </c>
      <c r="J95" s="56">
        <f t="shared" si="28"/>
        <v>3000</v>
      </c>
      <c r="K95" s="56">
        <f t="shared" si="28"/>
        <v>0</v>
      </c>
      <c r="L95" s="56">
        <f t="shared" si="28"/>
        <v>8000</v>
      </c>
      <c r="M95" s="56"/>
      <c r="N95" s="56">
        <f>M90-L95</f>
        <v>9500</v>
      </c>
      <c r="O95" s="88"/>
      <c r="P95" s="56">
        <f t="shared" ref="P95" si="29">SUM(P90:P94)</f>
        <v>0</v>
      </c>
    </row>
    <row r="96" spans="1:16" ht="15.75" customHeight="1" thickTop="1" x14ac:dyDescent="0.3">
      <c r="A96" s="312">
        <v>16</v>
      </c>
      <c r="B96" s="253" t="s">
        <v>771</v>
      </c>
      <c r="C96" s="256" t="s">
        <v>772</v>
      </c>
      <c r="D96" s="381" t="s">
        <v>598</v>
      </c>
      <c r="E96" s="297" t="s">
        <v>456</v>
      </c>
      <c r="F96" s="20">
        <v>6987</v>
      </c>
      <c r="G96" s="22" t="s">
        <v>773</v>
      </c>
      <c r="H96" s="4">
        <v>500</v>
      </c>
      <c r="I96" s="4">
        <v>6500</v>
      </c>
      <c r="J96" s="4">
        <v>3000</v>
      </c>
      <c r="K96" s="4"/>
      <c r="L96" s="4">
        <f>SUM(H96:K96)</f>
        <v>10000</v>
      </c>
      <c r="M96" s="340">
        <v>17500</v>
      </c>
      <c r="N96" s="4"/>
      <c r="O96" s="86" t="s">
        <v>295</v>
      </c>
      <c r="P96" s="20"/>
    </row>
    <row r="97" spans="1:16" x14ac:dyDescent="0.3">
      <c r="A97" s="313"/>
      <c r="B97" s="254"/>
      <c r="C97" s="257"/>
      <c r="D97" s="381"/>
      <c r="E97" s="287"/>
      <c r="F97" s="4"/>
      <c r="G97" s="4"/>
      <c r="H97" s="4"/>
      <c r="I97" s="4"/>
      <c r="J97" s="4"/>
      <c r="K97" s="4"/>
      <c r="L97" s="4">
        <f>SUM(H97:K97)</f>
        <v>0</v>
      </c>
      <c r="M97" s="340"/>
      <c r="N97" s="4"/>
      <c r="O97" s="71"/>
      <c r="P97" s="4"/>
    </row>
    <row r="98" spans="1:16" x14ac:dyDescent="0.3">
      <c r="A98" s="313"/>
      <c r="B98" s="254"/>
      <c r="C98" s="257"/>
      <c r="D98" s="381"/>
      <c r="E98" s="287"/>
      <c r="F98" s="16"/>
      <c r="G98" s="4"/>
      <c r="H98" s="4"/>
      <c r="I98" s="4"/>
      <c r="J98" s="4"/>
      <c r="K98" s="4"/>
      <c r="L98" s="4">
        <f>SUM(H98:K98)</f>
        <v>0</v>
      </c>
      <c r="M98" s="340"/>
      <c r="N98" s="4"/>
      <c r="O98" s="78"/>
      <c r="P98" s="4"/>
    </row>
    <row r="99" spans="1:16" x14ac:dyDescent="0.3">
      <c r="A99" s="313"/>
      <c r="B99" s="254"/>
      <c r="C99" s="257"/>
      <c r="D99" s="381"/>
      <c r="E99" s="287"/>
      <c r="F99" s="4"/>
      <c r="G99" s="4"/>
      <c r="H99" s="4"/>
      <c r="I99" s="4"/>
      <c r="J99" s="4"/>
      <c r="K99" s="4"/>
      <c r="L99" s="4">
        <f>SUM(H99:K99)</f>
        <v>0</v>
      </c>
      <c r="M99" s="340"/>
      <c r="N99" s="4"/>
      <c r="O99" s="72"/>
      <c r="P99" s="4"/>
    </row>
    <row r="100" spans="1:16" ht="15" thickBot="1" x14ac:dyDescent="0.35">
      <c r="A100" s="313"/>
      <c r="B100" s="254"/>
      <c r="C100" s="257"/>
      <c r="D100" s="381"/>
      <c r="E100" s="287"/>
      <c r="F100" s="6"/>
      <c r="G100" s="6"/>
      <c r="H100" s="4"/>
      <c r="I100" s="4"/>
      <c r="J100" s="4"/>
      <c r="K100" s="4"/>
      <c r="L100" s="4">
        <f>SUM(H100:K100)</f>
        <v>0</v>
      </c>
      <c r="M100" s="340"/>
      <c r="N100" s="4"/>
      <c r="O100" s="90"/>
      <c r="P100" s="6"/>
    </row>
    <row r="101" spans="1:16" ht="15.6" thickTop="1" thickBot="1" x14ac:dyDescent="0.35">
      <c r="A101" s="314"/>
      <c r="B101" s="255"/>
      <c r="C101" s="258"/>
      <c r="D101" s="382"/>
      <c r="E101" s="288"/>
      <c r="F101" s="243"/>
      <c r="G101" s="244"/>
      <c r="H101" s="56">
        <f>SUM(H96:H100)</f>
        <v>500</v>
      </c>
      <c r="I101" s="56">
        <f t="shared" ref="I101:L101" si="30">SUM(I96:I100)</f>
        <v>6500</v>
      </c>
      <c r="J101" s="56">
        <f t="shared" si="30"/>
        <v>3000</v>
      </c>
      <c r="K101" s="56">
        <f t="shared" si="30"/>
        <v>0</v>
      </c>
      <c r="L101" s="56">
        <f t="shared" si="30"/>
        <v>10000</v>
      </c>
      <c r="M101" s="56"/>
      <c r="N101" s="56">
        <f>M96-L101</f>
        <v>7500</v>
      </c>
      <c r="O101" s="88"/>
      <c r="P101" s="56">
        <f t="shared" ref="P101" si="31">SUM(P96:P100)</f>
        <v>0</v>
      </c>
    </row>
    <row r="102" spans="1:16" ht="15" thickTop="1" x14ac:dyDescent="0.3">
      <c r="A102" s="282">
        <v>17</v>
      </c>
      <c r="B102" s="283" t="s">
        <v>833</v>
      </c>
      <c r="C102" s="351" t="s">
        <v>834</v>
      </c>
      <c r="D102" s="381" t="s">
        <v>598</v>
      </c>
      <c r="E102" s="270" t="s">
        <v>835</v>
      </c>
      <c r="F102" s="20">
        <v>7013</v>
      </c>
      <c r="G102" s="22" t="s">
        <v>828</v>
      </c>
      <c r="H102" s="4">
        <v>500</v>
      </c>
      <c r="I102" s="4">
        <v>5000</v>
      </c>
      <c r="J102" s="4">
        <v>3000</v>
      </c>
      <c r="K102" s="4"/>
      <c r="L102" s="4">
        <f>SUM(H102:K102)</f>
        <v>8500</v>
      </c>
      <c r="M102" s="340">
        <v>17500</v>
      </c>
      <c r="N102" s="4"/>
      <c r="O102" s="86"/>
      <c r="P102" s="20">
        <v>1500</v>
      </c>
    </row>
    <row r="103" spans="1:16" x14ac:dyDescent="0.3">
      <c r="A103" s="246"/>
      <c r="B103" s="284"/>
      <c r="C103" s="351"/>
      <c r="D103" s="381"/>
      <c r="E103" s="257"/>
      <c r="F103" s="4"/>
      <c r="G103" s="4"/>
      <c r="H103" s="4"/>
      <c r="I103" s="4"/>
      <c r="J103" s="4"/>
      <c r="K103" s="4"/>
      <c r="L103" s="4">
        <f>SUM(H103:K103)</f>
        <v>0</v>
      </c>
      <c r="M103" s="340"/>
      <c r="N103" s="4"/>
      <c r="O103" s="71"/>
      <c r="P103" s="4"/>
    </row>
    <row r="104" spans="1:16" x14ac:dyDescent="0.3">
      <c r="A104" s="246"/>
      <c r="B104" s="284"/>
      <c r="C104" s="351"/>
      <c r="D104" s="381"/>
      <c r="E104" s="257"/>
      <c r="F104" s="16"/>
      <c r="G104" s="4"/>
      <c r="H104" s="4"/>
      <c r="I104" s="4"/>
      <c r="J104" s="4"/>
      <c r="K104" s="4"/>
      <c r="L104" s="4">
        <f>SUM(H104:K104)</f>
        <v>0</v>
      </c>
      <c r="M104" s="340"/>
      <c r="N104" s="4"/>
      <c r="O104" s="78"/>
      <c r="P104" s="4"/>
    </row>
    <row r="105" spans="1:16" x14ac:dyDescent="0.3">
      <c r="A105" s="246"/>
      <c r="B105" s="284"/>
      <c r="C105" s="351"/>
      <c r="D105" s="381"/>
      <c r="E105" s="257"/>
      <c r="F105" s="4"/>
      <c r="G105" s="4"/>
      <c r="H105" s="4"/>
      <c r="I105" s="4"/>
      <c r="J105" s="4"/>
      <c r="K105" s="4"/>
      <c r="L105" s="4">
        <f>SUM(H105:K105)</f>
        <v>0</v>
      </c>
      <c r="M105" s="340"/>
      <c r="N105" s="4"/>
      <c r="O105" s="72"/>
      <c r="P105" s="4"/>
    </row>
    <row r="106" spans="1:16" ht="15" thickBot="1" x14ac:dyDescent="0.35">
      <c r="A106" s="246"/>
      <c r="B106" s="284"/>
      <c r="C106" s="351"/>
      <c r="D106" s="381"/>
      <c r="E106" s="257"/>
      <c r="F106" s="6"/>
      <c r="G106" s="6"/>
      <c r="H106" s="4"/>
      <c r="I106" s="4"/>
      <c r="J106" s="4"/>
      <c r="K106" s="4"/>
      <c r="L106" s="4">
        <f>SUM(H106:K106)</f>
        <v>0</v>
      </c>
      <c r="M106" s="340"/>
      <c r="N106" s="4"/>
      <c r="O106" s="95"/>
      <c r="P106" s="6"/>
    </row>
    <row r="107" spans="1:16" ht="15.6" thickTop="1" thickBot="1" x14ac:dyDescent="0.35">
      <c r="A107" s="247"/>
      <c r="B107" s="285"/>
      <c r="C107" s="351"/>
      <c r="D107" s="382"/>
      <c r="E107" s="258"/>
      <c r="F107" s="243"/>
      <c r="G107" s="244"/>
      <c r="H107" s="56">
        <f>SUM(H102:H106)</f>
        <v>500</v>
      </c>
      <c r="I107" s="56">
        <f t="shared" ref="I107:L107" si="32">SUM(I102:I106)</f>
        <v>5000</v>
      </c>
      <c r="J107" s="56">
        <f t="shared" si="32"/>
        <v>3000</v>
      </c>
      <c r="K107" s="56">
        <f t="shared" si="32"/>
        <v>0</v>
      </c>
      <c r="L107" s="56">
        <f t="shared" si="32"/>
        <v>8500</v>
      </c>
      <c r="M107" s="56"/>
      <c r="N107" s="56">
        <f>M102-L107</f>
        <v>9000</v>
      </c>
      <c r="O107" s="88"/>
      <c r="P107" s="56">
        <f t="shared" ref="P107" si="33">SUM(P102:P106)</f>
        <v>1500</v>
      </c>
    </row>
    <row r="108" spans="1:16" ht="15" thickTop="1" x14ac:dyDescent="0.3">
      <c r="A108" s="282">
        <v>18</v>
      </c>
      <c r="B108" s="261" t="s">
        <v>836</v>
      </c>
      <c r="C108" s="351" t="s">
        <v>834</v>
      </c>
      <c r="D108" s="381" t="s">
        <v>598</v>
      </c>
      <c r="E108" s="270" t="s">
        <v>835</v>
      </c>
      <c r="F108" s="20">
        <v>7014</v>
      </c>
      <c r="G108" s="22" t="s">
        <v>828</v>
      </c>
      <c r="H108" s="4">
        <v>500</v>
      </c>
      <c r="I108" s="4">
        <v>5000</v>
      </c>
      <c r="J108" s="4">
        <v>3000</v>
      </c>
      <c r="K108" s="4"/>
      <c r="L108" s="4">
        <f>SUM(H108:K108)</f>
        <v>8500</v>
      </c>
      <c r="M108" s="340">
        <v>17500</v>
      </c>
      <c r="N108" s="4"/>
      <c r="O108" s="86"/>
      <c r="P108" s="20">
        <v>1500</v>
      </c>
    </row>
    <row r="109" spans="1:16" x14ac:dyDescent="0.3">
      <c r="A109" s="246"/>
      <c r="B109" s="262"/>
      <c r="C109" s="351"/>
      <c r="D109" s="381"/>
      <c r="E109" s="257"/>
      <c r="F109" s="4"/>
      <c r="G109" s="4"/>
      <c r="H109" s="4"/>
      <c r="I109" s="4"/>
      <c r="J109" s="4"/>
      <c r="K109" s="4"/>
      <c r="L109" s="4">
        <f>SUM(H109:K109)</f>
        <v>0</v>
      </c>
      <c r="M109" s="340"/>
      <c r="N109" s="4"/>
      <c r="O109" s="71"/>
      <c r="P109" s="4"/>
    </row>
    <row r="110" spans="1:16" x14ac:dyDescent="0.3">
      <c r="A110" s="246"/>
      <c r="B110" s="262"/>
      <c r="C110" s="351"/>
      <c r="D110" s="381"/>
      <c r="E110" s="257"/>
      <c r="F110" s="16"/>
      <c r="G110" s="4"/>
      <c r="H110" s="4"/>
      <c r="I110" s="4"/>
      <c r="J110" s="4"/>
      <c r="K110" s="4"/>
      <c r="L110" s="4">
        <f>SUM(H110:K110)</f>
        <v>0</v>
      </c>
      <c r="M110" s="340"/>
      <c r="N110" s="4"/>
      <c r="O110" s="78"/>
      <c r="P110" s="4"/>
    </row>
    <row r="111" spans="1:16" x14ac:dyDescent="0.3">
      <c r="A111" s="246"/>
      <c r="B111" s="262"/>
      <c r="C111" s="351"/>
      <c r="D111" s="381"/>
      <c r="E111" s="257"/>
      <c r="F111" s="4"/>
      <c r="G111" s="4"/>
      <c r="H111" s="4"/>
      <c r="I111" s="4"/>
      <c r="J111" s="4"/>
      <c r="K111" s="4"/>
      <c r="L111" s="4">
        <f>SUM(H111:K111)</f>
        <v>0</v>
      </c>
      <c r="M111" s="340"/>
      <c r="N111" s="4"/>
      <c r="O111" s="72"/>
      <c r="P111" s="4"/>
    </row>
    <row r="112" spans="1:16" ht="15" thickBot="1" x14ac:dyDescent="0.35">
      <c r="A112" s="246"/>
      <c r="B112" s="262"/>
      <c r="C112" s="351"/>
      <c r="D112" s="381"/>
      <c r="E112" s="257"/>
      <c r="F112" s="6"/>
      <c r="G112" s="6"/>
      <c r="H112" s="4"/>
      <c r="I112" s="4"/>
      <c r="J112" s="4"/>
      <c r="K112" s="4"/>
      <c r="L112" s="4">
        <f>SUM(H112:K112)</f>
        <v>0</v>
      </c>
      <c r="M112" s="340"/>
      <c r="N112" s="4"/>
      <c r="O112" s="95"/>
      <c r="P112" s="6"/>
    </row>
    <row r="113" spans="1:16" ht="15.6" thickTop="1" thickBot="1" x14ac:dyDescent="0.35">
      <c r="A113" s="247"/>
      <c r="B113" s="263"/>
      <c r="C113" s="351"/>
      <c r="D113" s="382"/>
      <c r="E113" s="258"/>
      <c r="F113" s="243"/>
      <c r="G113" s="244"/>
      <c r="H113" s="56">
        <f>SUM(H108:H112)</f>
        <v>500</v>
      </c>
      <c r="I113" s="56">
        <f t="shared" ref="I113:L113" si="34">SUM(I108:I112)</f>
        <v>5000</v>
      </c>
      <c r="J113" s="56">
        <f t="shared" si="34"/>
        <v>3000</v>
      </c>
      <c r="K113" s="56">
        <f t="shared" si="34"/>
        <v>0</v>
      </c>
      <c r="L113" s="56">
        <f t="shared" si="34"/>
        <v>8500</v>
      </c>
      <c r="M113" s="56"/>
      <c r="N113" s="56">
        <f>M108-L113</f>
        <v>9000</v>
      </c>
      <c r="O113" s="88"/>
      <c r="P113" s="56">
        <f t="shared" ref="P113" si="35">SUM(P108:P112)</f>
        <v>1500</v>
      </c>
    </row>
    <row r="114" spans="1:16" ht="15.75" customHeight="1" thickTop="1" x14ac:dyDescent="0.3">
      <c r="A114" s="282">
        <v>19</v>
      </c>
      <c r="B114" s="253" t="s">
        <v>897</v>
      </c>
      <c r="C114" s="256" t="s">
        <v>834</v>
      </c>
      <c r="D114" s="381" t="s">
        <v>598</v>
      </c>
      <c r="E114" s="270" t="s">
        <v>835</v>
      </c>
      <c r="F114" s="20">
        <v>7059</v>
      </c>
      <c r="G114" s="22" t="s">
        <v>898</v>
      </c>
      <c r="H114" s="4">
        <v>500</v>
      </c>
      <c r="I114" s="4">
        <v>3000</v>
      </c>
      <c r="J114" s="4"/>
      <c r="K114" s="4"/>
      <c r="L114" s="4">
        <f>SUM(H114:K114)</f>
        <v>3500</v>
      </c>
      <c r="M114" s="340">
        <v>17500</v>
      </c>
      <c r="N114" s="4"/>
      <c r="O114" s="86"/>
      <c r="P114" s="20">
        <v>1500</v>
      </c>
    </row>
    <row r="115" spans="1:16" x14ac:dyDescent="0.3">
      <c r="A115" s="246"/>
      <c r="B115" s="277"/>
      <c r="C115" s="257"/>
      <c r="D115" s="381"/>
      <c r="E115" s="257"/>
      <c r="F115" s="4"/>
      <c r="G115" s="4"/>
      <c r="H115" s="4"/>
      <c r="I115" s="4"/>
      <c r="J115" s="4"/>
      <c r="K115" s="4"/>
      <c r="L115" s="4">
        <f>SUM(H115:K115)</f>
        <v>0</v>
      </c>
      <c r="M115" s="340"/>
      <c r="N115" s="4"/>
      <c r="O115" s="71"/>
      <c r="P115" s="4"/>
    </row>
    <row r="116" spans="1:16" x14ac:dyDescent="0.3">
      <c r="A116" s="246"/>
      <c r="B116" s="277"/>
      <c r="C116" s="257"/>
      <c r="D116" s="381"/>
      <c r="E116" s="257"/>
      <c r="F116" s="16"/>
      <c r="G116" s="4"/>
      <c r="H116" s="4"/>
      <c r="I116" s="4"/>
      <c r="J116" s="4"/>
      <c r="K116" s="4"/>
      <c r="L116" s="4">
        <f>SUM(H116:K116)</f>
        <v>0</v>
      </c>
      <c r="M116" s="340"/>
      <c r="N116" s="4"/>
      <c r="O116" s="78"/>
      <c r="P116" s="4"/>
    </row>
    <row r="117" spans="1:16" x14ac:dyDescent="0.3">
      <c r="A117" s="246"/>
      <c r="B117" s="277"/>
      <c r="C117" s="257"/>
      <c r="D117" s="381"/>
      <c r="E117" s="257"/>
      <c r="F117" s="4"/>
      <c r="G117" s="4"/>
      <c r="H117" s="4"/>
      <c r="I117" s="4"/>
      <c r="J117" s="4"/>
      <c r="K117" s="4"/>
      <c r="L117" s="4">
        <f>SUM(H117:K117)</f>
        <v>0</v>
      </c>
      <c r="M117" s="340"/>
      <c r="N117" s="4"/>
      <c r="O117" s="72"/>
      <c r="P117" s="4"/>
    </row>
    <row r="118" spans="1:16" ht="15" thickBot="1" x14ac:dyDescent="0.35">
      <c r="A118" s="246"/>
      <c r="B118" s="277"/>
      <c r="C118" s="257"/>
      <c r="D118" s="381"/>
      <c r="E118" s="257"/>
      <c r="F118" s="6"/>
      <c r="G118" s="6"/>
      <c r="H118" s="4"/>
      <c r="I118" s="4"/>
      <c r="J118" s="4"/>
      <c r="K118" s="4"/>
      <c r="L118" s="4">
        <f>SUM(H118:K118)</f>
        <v>0</v>
      </c>
      <c r="M118" s="340"/>
      <c r="N118" s="4"/>
      <c r="O118" s="95"/>
      <c r="P118" s="6"/>
    </row>
    <row r="119" spans="1:16" ht="15.6" thickTop="1" thickBot="1" x14ac:dyDescent="0.35">
      <c r="A119" s="247"/>
      <c r="B119" s="278"/>
      <c r="C119" s="258"/>
      <c r="D119" s="382"/>
      <c r="E119" s="258"/>
      <c r="F119" s="243"/>
      <c r="G119" s="244"/>
      <c r="H119" s="56">
        <f>SUM(H114:H118)</f>
        <v>500</v>
      </c>
      <c r="I119" s="56">
        <f t="shared" ref="I119:L119" si="36">SUM(I114:I118)</f>
        <v>3000</v>
      </c>
      <c r="J119" s="56">
        <f t="shared" si="36"/>
        <v>0</v>
      </c>
      <c r="K119" s="56">
        <f t="shared" si="36"/>
        <v>0</v>
      </c>
      <c r="L119" s="56">
        <f t="shared" si="36"/>
        <v>3500</v>
      </c>
      <c r="M119" s="56"/>
      <c r="N119" s="56">
        <f>M114-L119</f>
        <v>14000</v>
      </c>
      <c r="O119" s="88"/>
      <c r="P119" s="56">
        <f t="shared" ref="P119" si="37">SUM(P114:P118)</f>
        <v>1500</v>
      </c>
    </row>
    <row r="120" spans="1:16" ht="15" thickTop="1" x14ac:dyDescent="0.3">
      <c r="A120" s="282">
        <v>20</v>
      </c>
      <c r="B120" s="321"/>
      <c r="C120" s="256" t="s">
        <v>857</v>
      </c>
      <c r="D120" s="381" t="s">
        <v>598</v>
      </c>
      <c r="E120" s="270" t="s">
        <v>835</v>
      </c>
      <c r="F120" s="20"/>
      <c r="G120" s="22"/>
      <c r="H120" s="4"/>
      <c r="I120" s="4"/>
      <c r="J120" s="4"/>
      <c r="K120" s="4"/>
      <c r="L120" s="4">
        <f>SUM(H120:K120)</f>
        <v>0</v>
      </c>
      <c r="M120" s="340"/>
      <c r="N120" s="4"/>
      <c r="O120" s="86"/>
      <c r="P120" s="20"/>
    </row>
    <row r="121" spans="1:16" x14ac:dyDescent="0.3">
      <c r="A121" s="246"/>
      <c r="B121" s="267"/>
      <c r="C121" s="257"/>
      <c r="D121" s="381"/>
      <c r="E121" s="257"/>
      <c r="F121" s="4"/>
      <c r="G121" s="4"/>
      <c r="H121" s="4"/>
      <c r="I121" s="4"/>
      <c r="J121" s="4"/>
      <c r="K121" s="4"/>
      <c r="L121" s="4">
        <f>SUM(H121:K121)</f>
        <v>0</v>
      </c>
      <c r="M121" s="340"/>
      <c r="N121" s="4"/>
      <c r="O121" s="71"/>
      <c r="P121" s="4"/>
    </row>
    <row r="122" spans="1:16" x14ac:dyDescent="0.3">
      <c r="A122" s="246"/>
      <c r="B122" s="267"/>
      <c r="C122" s="257"/>
      <c r="D122" s="381"/>
      <c r="E122" s="257"/>
      <c r="F122" s="16"/>
      <c r="G122" s="4"/>
      <c r="H122" s="4"/>
      <c r="I122" s="4"/>
      <c r="J122" s="4"/>
      <c r="K122" s="4"/>
      <c r="L122" s="4">
        <f>SUM(H122:K122)</f>
        <v>0</v>
      </c>
      <c r="M122" s="340"/>
      <c r="N122" s="4"/>
      <c r="O122" s="78"/>
      <c r="P122" s="4"/>
    </row>
    <row r="123" spans="1:16" x14ac:dyDescent="0.3">
      <c r="A123" s="246"/>
      <c r="B123" s="267"/>
      <c r="C123" s="257"/>
      <c r="D123" s="381"/>
      <c r="E123" s="257"/>
      <c r="F123" s="4"/>
      <c r="G123" s="4"/>
      <c r="H123" s="4"/>
      <c r="I123" s="4"/>
      <c r="J123" s="4"/>
      <c r="K123" s="4"/>
      <c r="L123" s="4">
        <f>SUM(H123:K123)</f>
        <v>0</v>
      </c>
      <c r="M123" s="340"/>
      <c r="N123" s="4"/>
      <c r="O123" s="72"/>
      <c r="P123" s="4"/>
    </row>
    <row r="124" spans="1:16" ht="15" thickBot="1" x14ac:dyDescent="0.35">
      <c r="A124" s="246"/>
      <c r="B124" s="267"/>
      <c r="C124" s="257"/>
      <c r="D124" s="381"/>
      <c r="E124" s="257"/>
      <c r="F124" s="6"/>
      <c r="G124" s="6"/>
      <c r="H124" s="4"/>
      <c r="I124" s="4"/>
      <c r="J124" s="4"/>
      <c r="K124" s="4"/>
      <c r="L124" s="4">
        <f>SUM(H124:K124)</f>
        <v>0</v>
      </c>
      <c r="M124" s="340"/>
      <c r="N124" s="4"/>
      <c r="O124" s="95"/>
      <c r="P124" s="6"/>
    </row>
    <row r="125" spans="1:16" ht="15.6" thickTop="1" thickBot="1" x14ac:dyDescent="0.35">
      <c r="A125" s="247"/>
      <c r="B125" s="268"/>
      <c r="C125" s="258"/>
      <c r="D125" s="382"/>
      <c r="E125" s="258"/>
      <c r="F125" s="243"/>
      <c r="G125" s="244"/>
      <c r="H125" s="56">
        <f>SUM(H120:H124)</f>
        <v>0</v>
      </c>
      <c r="I125" s="56">
        <f t="shared" ref="I125:L125" si="38">SUM(I120:I124)</f>
        <v>0</v>
      </c>
      <c r="J125" s="56">
        <f t="shared" si="38"/>
        <v>0</v>
      </c>
      <c r="K125" s="56">
        <f t="shared" si="38"/>
        <v>0</v>
      </c>
      <c r="L125" s="56">
        <f t="shared" si="38"/>
        <v>0</v>
      </c>
      <c r="M125" s="56"/>
      <c r="N125" s="56">
        <f>M120-L125</f>
        <v>0</v>
      </c>
      <c r="O125" s="88"/>
      <c r="P125" s="56">
        <f t="shared" ref="P125" si="39">SUM(P120:P124)</f>
        <v>0</v>
      </c>
    </row>
    <row r="126" spans="1:16" ht="15" thickTop="1" x14ac:dyDescent="0.3">
      <c r="A126" s="125"/>
      <c r="B126" s="226"/>
      <c r="C126" s="69"/>
      <c r="D126" s="224"/>
      <c r="E126" s="69"/>
      <c r="F126" s="66"/>
      <c r="G126" s="67"/>
      <c r="H126" s="56"/>
      <c r="I126" s="56"/>
      <c r="J126" s="56"/>
      <c r="K126" s="56"/>
      <c r="L126" s="56"/>
      <c r="M126" s="56"/>
      <c r="N126" s="56"/>
      <c r="O126" s="92"/>
      <c r="P126" s="56"/>
    </row>
    <row r="127" spans="1:16" ht="15.6" x14ac:dyDescent="0.3">
      <c r="A127" s="372" t="s">
        <v>15</v>
      </c>
      <c r="B127" s="373"/>
      <c r="C127" s="373"/>
      <c r="D127" s="373"/>
      <c r="E127" s="373"/>
      <c r="F127" s="373"/>
      <c r="G127" s="374"/>
      <c r="H127" s="2">
        <f t="shared" ref="H127:L127" si="40">+H29+H23+H17+H11+H35+H41+H47+H53+H59+H65+H71+H77+H83+H89+H95+H101+H107+H113+H119+H125</f>
        <v>9000</v>
      </c>
      <c r="I127" s="2">
        <f t="shared" si="40"/>
        <v>145500</v>
      </c>
      <c r="J127" s="2">
        <f t="shared" si="40"/>
        <v>51000</v>
      </c>
      <c r="K127" s="2">
        <f t="shared" si="40"/>
        <v>0</v>
      </c>
      <c r="L127" s="2">
        <f t="shared" si="40"/>
        <v>223000</v>
      </c>
      <c r="M127" s="2">
        <f>+M24+M18+M12+M6+M30+M36+M42+M48+M54+M60+M66+M72+M78+M84+M90+M96+M102+M108+M114+M120</f>
        <v>332500</v>
      </c>
      <c r="N127" s="2">
        <f>+N29+N23+N17+N11+N35+N41+N47+N53+N59+N65+N71+N77+N83+N89+N95+N101+N107+N113+N119+N125</f>
        <v>109500</v>
      </c>
      <c r="O127" s="83"/>
      <c r="P127" s="2">
        <f>+P29+P23+P17+P11+P35+P41+P47+P53+P59+P65+P71+P77+P83+P89+P95+P101+P107+P113+P119+P125</f>
        <v>4500</v>
      </c>
    </row>
    <row r="129" spans="4:5" x14ac:dyDescent="0.3">
      <c r="D129" s="19"/>
      <c r="E129" s="19"/>
    </row>
  </sheetData>
  <mergeCells count="145">
    <mergeCell ref="A120:A125"/>
    <mergeCell ref="B120:B125"/>
    <mergeCell ref="C120:C125"/>
    <mergeCell ref="D120:D125"/>
    <mergeCell ref="E120:E125"/>
    <mergeCell ref="M120:M124"/>
    <mergeCell ref="F125:G125"/>
    <mergeCell ref="A108:A113"/>
    <mergeCell ref="A114:A119"/>
    <mergeCell ref="B108:B113"/>
    <mergeCell ref="C108:C113"/>
    <mergeCell ref="D108:D113"/>
    <mergeCell ref="E108:E113"/>
    <mergeCell ref="M108:M112"/>
    <mergeCell ref="F113:G113"/>
    <mergeCell ref="B114:B119"/>
    <mergeCell ref="C114:C119"/>
    <mergeCell ref="D114:D119"/>
    <mergeCell ref="E114:E119"/>
    <mergeCell ref="M114:M118"/>
    <mergeCell ref="F119:G119"/>
    <mergeCell ref="A96:A101"/>
    <mergeCell ref="B96:B101"/>
    <mergeCell ref="C96:C101"/>
    <mergeCell ref="D96:D101"/>
    <mergeCell ref="E96:E101"/>
    <mergeCell ref="M96:M100"/>
    <mergeCell ref="F101:G101"/>
    <mergeCell ref="M72:M76"/>
    <mergeCell ref="F77:G77"/>
    <mergeCell ref="A72:A77"/>
    <mergeCell ref="B72:B77"/>
    <mergeCell ref="C72:C77"/>
    <mergeCell ref="D72:D77"/>
    <mergeCell ref="E72:E77"/>
    <mergeCell ref="C90:C95"/>
    <mergeCell ref="D90:D95"/>
    <mergeCell ref="M60:M64"/>
    <mergeCell ref="M66:M70"/>
    <mergeCell ref="A1:P1"/>
    <mergeCell ref="A2:P2"/>
    <mergeCell ref="A3:P3"/>
    <mergeCell ref="A4:P4"/>
    <mergeCell ref="M54:M58"/>
    <mergeCell ref="F59:G59"/>
    <mergeCell ref="A54:A59"/>
    <mergeCell ref="B54:B59"/>
    <mergeCell ref="C54:C59"/>
    <mergeCell ref="D54:D59"/>
    <mergeCell ref="E54:E59"/>
    <mergeCell ref="F17:G17"/>
    <mergeCell ref="M6:M10"/>
    <mergeCell ref="M12:M16"/>
    <mergeCell ref="A18:A23"/>
    <mergeCell ref="B18:B23"/>
    <mergeCell ref="C18:C23"/>
    <mergeCell ref="D18:D23"/>
    <mergeCell ref="E18:E23"/>
    <mergeCell ref="A12:A17"/>
    <mergeCell ref="B12:B17"/>
    <mergeCell ref="C12:C17"/>
    <mergeCell ref="D12:D17"/>
    <mergeCell ref="E12:E17"/>
    <mergeCell ref="A6:A11"/>
    <mergeCell ref="B6:B11"/>
    <mergeCell ref="C6:C11"/>
    <mergeCell ref="D6:D11"/>
    <mergeCell ref="E6:E11"/>
    <mergeCell ref="F11:G11"/>
    <mergeCell ref="A127:G127"/>
    <mergeCell ref="F29:G29"/>
    <mergeCell ref="F65:G65"/>
    <mergeCell ref="A66:A71"/>
    <mergeCell ref="B66:B71"/>
    <mergeCell ref="C66:C71"/>
    <mergeCell ref="D66:D71"/>
    <mergeCell ref="E66:E71"/>
    <mergeCell ref="F71:G71"/>
    <mergeCell ref="A60:A65"/>
    <mergeCell ref="B60:B65"/>
    <mergeCell ref="C60:C65"/>
    <mergeCell ref="D60:D65"/>
    <mergeCell ref="E60:E65"/>
    <mergeCell ref="A90:A95"/>
    <mergeCell ref="B90:B95"/>
    <mergeCell ref="M18:M22"/>
    <mergeCell ref="M24:M28"/>
    <mergeCell ref="A24:A29"/>
    <mergeCell ref="B24:B29"/>
    <mergeCell ref="C24:C29"/>
    <mergeCell ref="D24:D29"/>
    <mergeCell ref="E24:E29"/>
    <mergeCell ref="A30:A35"/>
    <mergeCell ref="B30:B35"/>
    <mergeCell ref="C30:C35"/>
    <mergeCell ref="D30:D35"/>
    <mergeCell ref="E30:E35"/>
    <mergeCell ref="M30:M34"/>
    <mergeCell ref="F35:G35"/>
    <mergeCell ref="F23:G23"/>
    <mergeCell ref="M48:M52"/>
    <mergeCell ref="F53:G53"/>
    <mergeCell ref="A48:A53"/>
    <mergeCell ref="B48:B53"/>
    <mergeCell ref="C48:C53"/>
    <mergeCell ref="D48:D53"/>
    <mergeCell ref="E48:E53"/>
    <mergeCell ref="M36:M40"/>
    <mergeCell ref="F41:G41"/>
    <mergeCell ref="A42:A47"/>
    <mergeCell ref="B42:B47"/>
    <mergeCell ref="C42:C47"/>
    <mergeCell ref="D42:D47"/>
    <mergeCell ref="E42:E47"/>
    <mergeCell ref="M42:M46"/>
    <mergeCell ref="F47:G47"/>
    <mergeCell ref="A36:A41"/>
    <mergeCell ref="B36:B41"/>
    <mergeCell ref="C36:C41"/>
    <mergeCell ref="D36:D41"/>
    <mergeCell ref="E36:E41"/>
    <mergeCell ref="A102:A107"/>
    <mergeCell ref="B102:B107"/>
    <mergeCell ref="C102:C107"/>
    <mergeCell ref="D102:D107"/>
    <mergeCell ref="E102:E107"/>
    <mergeCell ref="M102:M106"/>
    <mergeCell ref="F107:G107"/>
    <mergeCell ref="M78:M82"/>
    <mergeCell ref="F83:G83"/>
    <mergeCell ref="A84:A89"/>
    <mergeCell ref="B84:B89"/>
    <mergeCell ref="C84:C89"/>
    <mergeCell ref="D84:D89"/>
    <mergeCell ref="E84:E89"/>
    <mergeCell ref="M84:M88"/>
    <mergeCell ref="F89:G89"/>
    <mergeCell ref="A78:A83"/>
    <mergeCell ref="B78:B83"/>
    <mergeCell ref="C78:C83"/>
    <mergeCell ref="D78:D83"/>
    <mergeCell ref="E78:E83"/>
    <mergeCell ref="E90:E95"/>
    <mergeCell ref="M90:M94"/>
    <mergeCell ref="F95:G95"/>
  </mergeCells>
  <pageMargins left="0.15748031496062992" right="0" top="0.23622047244094491" bottom="0.23622047244094491" header="0.31496062992125984" footer="0.31496062992125984"/>
  <pageSetup paperSize="9"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0"/>
  <sheetViews>
    <sheetView workbookViewId="0">
      <pane xSplit="5" ySplit="5" topLeftCell="F36" activePane="bottomRight" state="frozen"/>
      <selection pane="topRight" activeCell="F1" sqref="F1"/>
      <selection pane="bottomLeft" activeCell="A6" sqref="A6"/>
      <selection pane="bottomRight" activeCell="L49" sqref="L49"/>
    </sheetView>
  </sheetViews>
  <sheetFormatPr defaultRowHeight="14.4" x14ac:dyDescent="0.3"/>
  <cols>
    <col min="1" max="1" width="3.5546875" customWidth="1"/>
    <col min="2" max="2" width="28.88671875" customWidth="1"/>
    <col min="3" max="3" width="6.5546875" bestFit="1" customWidth="1"/>
    <col min="4" max="4" width="10.109375" customWidth="1"/>
    <col min="5" max="5" width="10.33203125" bestFit="1" customWidth="1"/>
    <col min="6" max="6" width="8.6640625" customWidth="1"/>
    <col min="7" max="7" width="10.6640625" bestFit="1" customWidth="1"/>
    <col min="8" max="8" width="8.33203125" customWidth="1"/>
    <col min="9" max="9" width="9.109375" customWidth="1"/>
    <col min="10" max="10" width="10.44140625" bestFit="1" customWidth="1"/>
    <col min="11" max="11" width="7.88671875" bestFit="1" customWidth="1"/>
    <col min="12" max="12" width="10.109375" customWidth="1"/>
    <col min="13" max="13" width="11.109375" customWidth="1"/>
    <col min="14" max="14" width="12.109375" customWidth="1"/>
    <col min="15" max="15" width="14.6640625" customWidth="1"/>
    <col min="16" max="16" width="8.5546875" customWidth="1"/>
  </cols>
  <sheetData>
    <row r="1" spans="1:16" ht="17.25" customHeight="1" x14ac:dyDescent="0.3">
      <c r="A1" s="319" t="s">
        <v>10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</row>
    <row r="2" spans="1:16" ht="22.5" customHeight="1" x14ac:dyDescent="0.4">
      <c r="A2" s="342" t="s">
        <v>11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</row>
    <row r="3" spans="1:16" ht="16.5" customHeight="1" thickBot="1" x14ac:dyDescent="0.35">
      <c r="A3" s="398" t="s">
        <v>12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</row>
    <row r="4" spans="1:16" ht="21.75" customHeight="1" x14ac:dyDescent="0.45">
      <c r="A4" s="399" t="s">
        <v>438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</row>
    <row r="5" spans="1:16" ht="42" thickBot="1" x14ac:dyDescent="0.35">
      <c r="A5" s="23" t="s">
        <v>0</v>
      </c>
      <c r="B5" s="24" t="s">
        <v>13</v>
      </c>
      <c r="C5" s="13" t="s">
        <v>14</v>
      </c>
      <c r="D5" s="25" t="s">
        <v>1</v>
      </c>
      <c r="E5" s="13" t="s">
        <v>2</v>
      </c>
      <c r="F5" s="13" t="s">
        <v>8</v>
      </c>
      <c r="G5" s="13" t="s">
        <v>9</v>
      </c>
      <c r="H5" s="13" t="s">
        <v>46</v>
      </c>
      <c r="I5" s="13" t="s">
        <v>3</v>
      </c>
      <c r="J5" s="13" t="s">
        <v>4</v>
      </c>
      <c r="K5" s="13" t="s">
        <v>5</v>
      </c>
      <c r="L5" s="13" t="s">
        <v>15</v>
      </c>
      <c r="M5" s="13" t="s">
        <v>49</v>
      </c>
      <c r="N5" s="13" t="s">
        <v>6</v>
      </c>
      <c r="O5" s="13" t="s">
        <v>7</v>
      </c>
      <c r="P5" s="13" t="s">
        <v>44</v>
      </c>
    </row>
    <row r="6" spans="1:16" ht="15" thickTop="1" x14ac:dyDescent="0.3">
      <c r="A6" s="249">
        <v>1</v>
      </c>
      <c r="B6" s="279" t="s">
        <v>465</v>
      </c>
      <c r="C6" s="280" t="s">
        <v>202</v>
      </c>
      <c r="D6" s="359" t="s">
        <v>47</v>
      </c>
      <c r="E6" s="375" t="s">
        <v>456</v>
      </c>
      <c r="F6" s="34">
        <v>6815</v>
      </c>
      <c r="G6" s="59" t="s">
        <v>424</v>
      </c>
      <c r="H6" s="34">
        <v>500</v>
      </c>
      <c r="I6" s="34">
        <v>2500</v>
      </c>
      <c r="J6" s="34">
        <v>3000</v>
      </c>
      <c r="K6" s="34"/>
      <c r="L6" s="34">
        <f>SUM(H6:K6)</f>
        <v>6000</v>
      </c>
      <c r="M6" s="249">
        <v>14500</v>
      </c>
      <c r="N6" s="34"/>
      <c r="O6" s="34"/>
      <c r="P6" s="34"/>
    </row>
    <row r="7" spans="1:16" x14ac:dyDescent="0.3">
      <c r="A7" s="249"/>
      <c r="B7" s="277"/>
      <c r="C7" s="267"/>
      <c r="D7" s="359"/>
      <c r="E7" s="267"/>
      <c r="F7" s="36">
        <v>6973</v>
      </c>
      <c r="G7" s="36" t="s">
        <v>707</v>
      </c>
      <c r="H7" s="36"/>
      <c r="I7" s="36">
        <v>8500</v>
      </c>
      <c r="J7" s="36"/>
      <c r="K7" s="36"/>
      <c r="L7" s="36">
        <f>SUM(H7:K7)</f>
        <v>8500</v>
      </c>
      <c r="M7" s="249"/>
      <c r="N7" s="36"/>
      <c r="O7" s="36"/>
      <c r="P7" s="36"/>
    </row>
    <row r="8" spans="1:16" x14ac:dyDescent="0.3">
      <c r="A8" s="249"/>
      <c r="B8" s="277"/>
      <c r="C8" s="267"/>
      <c r="D8" s="359"/>
      <c r="E8" s="267"/>
      <c r="F8" s="31"/>
      <c r="G8" s="36"/>
      <c r="H8" s="36"/>
      <c r="I8" s="36"/>
      <c r="J8" s="36"/>
      <c r="K8" s="36"/>
      <c r="L8" s="36">
        <f>SUM(H8:K8)</f>
        <v>0</v>
      </c>
      <c r="M8" s="249"/>
      <c r="N8" s="36"/>
      <c r="O8" s="37"/>
      <c r="P8" s="36"/>
    </row>
    <row r="9" spans="1:16" x14ac:dyDescent="0.3">
      <c r="A9" s="249"/>
      <c r="B9" s="277"/>
      <c r="C9" s="267"/>
      <c r="D9" s="359"/>
      <c r="E9" s="267"/>
      <c r="F9" s="36"/>
      <c r="G9" s="36"/>
      <c r="H9" s="36"/>
      <c r="I9" s="36"/>
      <c r="J9" s="36"/>
      <c r="K9" s="36"/>
      <c r="L9" s="36">
        <f>SUM(H9:K9)</f>
        <v>0</v>
      </c>
      <c r="M9" s="249"/>
      <c r="N9" s="36"/>
      <c r="O9" s="36"/>
      <c r="P9" s="36"/>
    </row>
    <row r="10" spans="1:16" ht="15" thickBot="1" x14ac:dyDescent="0.35">
      <c r="A10" s="249"/>
      <c r="B10" s="277"/>
      <c r="C10" s="267"/>
      <c r="D10" s="359"/>
      <c r="E10" s="267"/>
      <c r="F10" s="41"/>
      <c r="G10" s="41"/>
      <c r="H10" s="41"/>
      <c r="I10" s="41"/>
      <c r="J10" s="41"/>
      <c r="K10" s="41"/>
      <c r="L10" s="41">
        <f>SUM(H10:K10)</f>
        <v>0</v>
      </c>
      <c r="M10" s="250"/>
      <c r="N10" s="41"/>
      <c r="O10" s="41"/>
      <c r="P10" s="41"/>
    </row>
    <row r="11" spans="1:16" ht="15.6" thickTop="1" thickBot="1" x14ac:dyDescent="0.35">
      <c r="A11" s="250"/>
      <c r="B11" s="278"/>
      <c r="C11" s="268"/>
      <c r="D11" s="359"/>
      <c r="E11" s="268"/>
      <c r="F11" s="251" t="s">
        <v>17</v>
      </c>
      <c r="G11" s="252"/>
      <c r="H11" s="14">
        <f>SUM(H6:H10)</f>
        <v>500</v>
      </c>
      <c r="I11" s="14">
        <f t="shared" ref="I11:L11" si="0">SUM(I6:I10)</f>
        <v>11000</v>
      </c>
      <c r="J11" s="14">
        <f t="shared" si="0"/>
        <v>3000</v>
      </c>
      <c r="K11" s="14">
        <f t="shared" si="0"/>
        <v>0</v>
      </c>
      <c r="L11" s="14">
        <f t="shared" si="0"/>
        <v>14500</v>
      </c>
      <c r="M11" s="14"/>
      <c r="N11" s="14">
        <f>M6-L11</f>
        <v>0</v>
      </c>
      <c r="O11" s="14"/>
      <c r="P11" s="14">
        <f t="shared" ref="P11" si="1">SUM(P6:P10)</f>
        <v>0</v>
      </c>
    </row>
    <row r="12" spans="1:16" ht="15" thickTop="1" x14ac:dyDescent="0.3">
      <c r="A12" s="248">
        <f>A6+1</f>
        <v>2</v>
      </c>
      <c r="B12" s="253" t="s">
        <v>606</v>
      </c>
      <c r="C12" s="256" t="s">
        <v>220</v>
      </c>
      <c r="D12" s="351" t="s">
        <v>36</v>
      </c>
      <c r="E12" s="297" t="s">
        <v>567</v>
      </c>
      <c r="F12" s="3">
        <v>6894</v>
      </c>
      <c r="G12" s="7" t="s">
        <v>508</v>
      </c>
      <c r="H12" s="3">
        <v>500</v>
      </c>
      <c r="I12" s="3">
        <v>4000</v>
      </c>
      <c r="J12" s="3">
        <v>3000</v>
      </c>
      <c r="K12" s="3"/>
      <c r="L12" s="4">
        <f>SUM(H12:K12)</f>
        <v>7500</v>
      </c>
      <c r="M12" s="240">
        <v>14500</v>
      </c>
      <c r="N12" s="4"/>
      <c r="O12" s="15" t="s">
        <v>295</v>
      </c>
      <c r="P12" s="3"/>
    </row>
    <row r="13" spans="1:16" x14ac:dyDescent="0.3">
      <c r="A13" s="241"/>
      <c r="B13" s="254"/>
      <c r="C13" s="257"/>
      <c r="D13" s="351"/>
      <c r="E13" s="287"/>
      <c r="F13" s="16"/>
      <c r="G13" s="4"/>
      <c r="H13" s="4"/>
      <c r="I13" s="4"/>
      <c r="J13" s="4"/>
      <c r="K13" s="4"/>
      <c r="L13" s="4">
        <f>SUM(H13:K13)</f>
        <v>0</v>
      </c>
      <c r="M13" s="241"/>
      <c r="N13" s="4"/>
      <c r="O13" s="16" t="s">
        <v>240</v>
      </c>
      <c r="P13" s="4"/>
    </row>
    <row r="14" spans="1:16" x14ac:dyDescent="0.3">
      <c r="A14" s="241"/>
      <c r="B14" s="254"/>
      <c r="C14" s="257"/>
      <c r="D14" s="351"/>
      <c r="E14" s="287"/>
      <c r="F14" s="4"/>
      <c r="G14" s="4"/>
      <c r="H14" s="4"/>
      <c r="I14" s="4"/>
      <c r="J14" s="4"/>
      <c r="K14" s="4"/>
      <c r="L14" s="4">
        <f>SUM(H14:K14)</f>
        <v>0</v>
      </c>
      <c r="M14" s="241"/>
      <c r="N14" s="4"/>
      <c r="O14" s="20"/>
      <c r="P14" s="4"/>
    </row>
    <row r="15" spans="1:16" x14ac:dyDescent="0.3">
      <c r="A15" s="241"/>
      <c r="B15" s="254"/>
      <c r="C15" s="257"/>
      <c r="D15" s="351"/>
      <c r="E15" s="287"/>
      <c r="F15" s="4"/>
      <c r="G15" s="4"/>
      <c r="H15" s="4"/>
      <c r="I15" s="4"/>
      <c r="J15" s="4"/>
      <c r="K15" s="4"/>
      <c r="L15" s="4">
        <f>SUM(H15:K15)</f>
        <v>0</v>
      </c>
      <c r="M15" s="241"/>
      <c r="N15" s="4"/>
      <c r="O15" s="4"/>
      <c r="P15" s="4"/>
    </row>
    <row r="16" spans="1:16" ht="15" thickBot="1" x14ac:dyDescent="0.35">
      <c r="A16" s="241"/>
      <c r="B16" s="254"/>
      <c r="C16" s="257"/>
      <c r="D16" s="351"/>
      <c r="E16" s="287"/>
      <c r="F16" s="6"/>
      <c r="G16" s="6"/>
      <c r="H16" s="6"/>
      <c r="I16" s="6"/>
      <c r="J16" s="6"/>
      <c r="K16" s="6"/>
      <c r="L16" s="6">
        <f>SUM(H16:K16)</f>
        <v>0</v>
      </c>
      <c r="M16" s="242"/>
      <c r="N16" s="6"/>
      <c r="O16" s="26"/>
      <c r="P16" s="6"/>
    </row>
    <row r="17" spans="1:16" ht="15.6" thickTop="1" thickBot="1" x14ac:dyDescent="0.35">
      <c r="A17" s="242"/>
      <c r="B17" s="255"/>
      <c r="C17" s="258"/>
      <c r="D17" s="351"/>
      <c r="E17" s="288"/>
      <c r="F17" s="243" t="s">
        <v>17</v>
      </c>
      <c r="G17" s="244"/>
      <c r="H17" s="8">
        <f>SUM(H12:H16)</f>
        <v>500</v>
      </c>
      <c r="I17" s="8">
        <f t="shared" ref="I17:K17" si="2">SUM(I12:I16)</f>
        <v>4000</v>
      </c>
      <c r="J17" s="8">
        <f t="shared" si="2"/>
        <v>3000</v>
      </c>
      <c r="K17" s="8">
        <f t="shared" si="2"/>
        <v>0</v>
      </c>
      <c r="L17" s="8">
        <f>SUM(L12:L16)</f>
        <v>7500</v>
      </c>
      <c r="M17" s="8"/>
      <c r="N17" s="8">
        <f>M12-L17</f>
        <v>7000</v>
      </c>
      <c r="O17" s="8"/>
      <c r="P17" s="8">
        <f t="shared" ref="P17" si="3">SUM(P12:P16)</f>
        <v>0</v>
      </c>
    </row>
    <row r="18" spans="1:16" ht="15.75" customHeight="1" thickTop="1" x14ac:dyDescent="0.3">
      <c r="A18" s="248">
        <v>3</v>
      </c>
      <c r="B18" s="253" t="s">
        <v>607</v>
      </c>
      <c r="C18" s="256" t="s">
        <v>608</v>
      </c>
      <c r="D18" s="351" t="s">
        <v>36</v>
      </c>
      <c r="E18" s="357" t="s">
        <v>601</v>
      </c>
      <c r="F18" s="3">
        <v>6895</v>
      </c>
      <c r="G18" s="29" t="s">
        <v>508</v>
      </c>
      <c r="H18" s="3">
        <v>500</v>
      </c>
      <c r="I18" s="3">
        <v>3500</v>
      </c>
      <c r="J18" s="3">
        <v>3000</v>
      </c>
      <c r="K18" s="3"/>
      <c r="L18" s="4">
        <f>SUM(H18:K18)</f>
        <v>7000</v>
      </c>
      <c r="M18" s="240">
        <v>14500</v>
      </c>
      <c r="N18" s="4"/>
      <c r="O18" s="20" t="s">
        <v>295</v>
      </c>
      <c r="P18" s="3"/>
    </row>
    <row r="19" spans="1:16" x14ac:dyDescent="0.3">
      <c r="A19" s="241"/>
      <c r="B19" s="254"/>
      <c r="C19" s="257"/>
      <c r="D19" s="351"/>
      <c r="E19" s="351"/>
      <c r="F19" s="16"/>
      <c r="G19" s="4"/>
      <c r="H19" s="4"/>
      <c r="I19" s="4"/>
      <c r="J19" s="4"/>
      <c r="K19" s="4"/>
      <c r="L19" s="4">
        <f>SUM(H19:K19)</f>
        <v>0</v>
      </c>
      <c r="M19" s="241"/>
      <c r="N19" s="4"/>
      <c r="O19" s="4" t="s">
        <v>240</v>
      </c>
      <c r="P19" s="4"/>
    </row>
    <row r="20" spans="1:16" x14ac:dyDescent="0.3">
      <c r="A20" s="241"/>
      <c r="B20" s="254"/>
      <c r="C20" s="257"/>
      <c r="D20" s="351"/>
      <c r="E20" s="351"/>
      <c r="F20" s="4"/>
      <c r="G20" s="4"/>
      <c r="H20" s="4"/>
      <c r="I20" s="4"/>
      <c r="J20" s="4"/>
      <c r="K20" s="4"/>
      <c r="L20" s="4">
        <f>SUM(H20:K20)</f>
        <v>0</v>
      </c>
      <c r="M20" s="241"/>
      <c r="N20" s="4"/>
      <c r="O20" s="26"/>
      <c r="P20" s="4"/>
    </row>
    <row r="21" spans="1:16" x14ac:dyDescent="0.3">
      <c r="A21" s="241"/>
      <c r="B21" s="254"/>
      <c r="C21" s="257"/>
      <c r="D21" s="351"/>
      <c r="E21" s="351"/>
      <c r="F21" s="4"/>
      <c r="G21" s="4"/>
      <c r="H21" s="4"/>
      <c r="I21" s="4"/>
      <c r="J21" s="4"/>
      <c r="K21" s="4"/>
      <c r="L21" s="4">
        <f>SUM(H21:K21)</f>
        <v>0</v>
      </c>
      <c r="M21" s="241"/>
      <c r="N21" s="4"/>
      <c r="O21" s="4"/>
      <c r="P21" s="4"/>
    </row>
    <row r="22" spans="1:16" ht="15" thickBot="1" x14ac:dyDescent="0.35">
      <c r="A22" s="241"/>
      <c r="B22" s="254"/>
      <c r="C22" s="257"/>
      <c r="D22" s="351"/>
      <c r="E22" s="351"/>
      <c r="F22" s="6"/>
      <c r="G22" s="6"/>
      <c r="H22" s="6"/>
      <c r="I22" s="6"/>
      <c r="J22" s="6"/>
      <c r="K22" s="6"/>
      <c r="L22" s="6">
        <f>SUM(H22:K22)</f>
        <v>0</v>
      </c>
      <c r="M22" s="242"/>
      <c r="N22" s="6"/>
      <c r="O22" s="6"/>
      <c r="P22" s="6"/>
    </row>
    <row r="23" spans="1:16" ht="15.6" thickTop="1" thickBot="1" x14ac:dyDescent="0.35">
      <c r="A23" s="242"/>
      <c r="B23" s="255"/>
      <c r="C23" s="258"/>
      <c r="D23" s="351"/>
      <c r="E23" s="351"/>
      <c r="F23" s="243" t="s">
        <v>17</v>
      </c>
      <c r="G23" s="244"/>
      <c r="H23" s="8">
        <f>SUM(H18:H22)</f>
        <v>500</v>
      </c>
      <c r="I23" s="8">
        <f t="shared" ref="I23:L23" si="4">SUM(I18:I22)</f>
        <v>3500</v>
      </c>
      <c r="J23" s="8">
        <f t="shared" si="4"/>
        <v>3000</v>
      </c>
      <c r="K23" s="8">
        <f t="shared" si="4"/>
        <v>0</v>
      </c>
      <c r="L23" s="8">
        <f t="shared" si="4"/>
        <v>7000</v>
      </c>
      <c r="M23" s="8"/>
      <c r="N23" s="8">
        <f>M18-L23</f>
        <v>7500</v>
      </c>
      <c r="O23" s="8"/>
      <c r="P23" s="8">
        <f t="shared" ref="P23" si="5">SUM(P18:P22)</f>
        <v>0</v>
      </c>
    </row>
    <row r="24" spans="1:16" ht="15.75" customHeight="1" thickTop="1" x14ac:dyDescent="0.3">
      <c r="A24" s="260">
        <v>4</v>
      </c>
      <c r="B24" s="358" t="s">
        <v>609</v>
      </c>
      <c r="C24" s="359" t="s">
        <v>205</v>
      </c>
      <c r="D24" s="280" t="s">
        <v>36</v>
      </c>
      <c r="E24" s="362" t="s">
        <v>610</v>
      </c>
      <c r="F24" s="39">
        <v>6822</v>
      </c>
      <c r="G24" s="47" t="s">
        <v>575</v>
      </c>
      <c r="H24" s="39">
        <v>500</v>
      </c>
      <c r="I24" s="39">
        <v>11000</v>
      </c>
      <c r="J24" s="39">
        <v>3000</v>
      </c>
      <c r="K24" s="39"/>
      <c r="L24" s="36">
        <f>SUM(H24:K24)</f>
        <v>14500</v>
      </c>
      <c r="M24" s="271">
        <v>14500</v>
      </c>
      <c r="N24" s="36"/>
      <c r="O24" s="34" t="s">
        <v>295</v>
      </c>
      <c r="P24" s="39"/>
    </row>
    <row r="25" spans="1:16" x14ac:dyDescent="0.3">
      <c r="A25" s="249"/>
      <c r="B25" s="358"/>
      <c r="C25" s="359"/>
      <c r="D25" s="267"/>
      <c r="E25" s="359"/>
      <c r="F25" s="31"/>
      <c r="G25" s="36"/>
      <c r="H25" s="36"/>
      <c r="I25" s="36"/>
      <c r="J25" s="36"/>
      <c r="K25" s="36"/>
      <c r="L25" s="36">
        <f>SUM(H25:K25)</f>
        <v>0</v>
      </c>
      <c r="M25" s="249"/>
      <c r="N25" s="36"/>
      <c r="O25" s="36" t="s">
        <v>240</v>
      </c>
      <c r="P25" s="36"/>
    </row>
    <row r="26" spans="1:16" x14ac:dyDescent="0.3">
      <c r="A26" s="249"/>
      <c r="B26" s="358"/>
      <c r="C26" s="359"/>
      <c r="D26" s="267"/>
      <c r="E26" s="359"/>
      <c r="F26" s="36"/>
      <c r="G26" s="36"/>
      <c r="H26" s="36"/>
      <c r="I26" s="36"/>
      <c r="J26" s="36"/>
      <c r="K26" s="36"/>
      <c r="L26" s="36">
        <f>SUM(H26:K26)</f>
        <v>0</v>
      </c>
      <c r="M26" s="249"/>
      <c r="N26" s="36"/>
      <c r="O26" s="37"/>
      <c r="P26" s="36"/>
    </row>
    <row r="27" spans="1:16" x14ac:dyDescent="0.3">
      <c r="A27" s="249"/>
      <c r="B27" s="358"/>
      <c r="C27" s="359"/>
      <c r="D27" s="267"/>
      <c r="E27" s="359"/>
      <c r="F27" s="36"/>
      <c r="G27" s="36"/>
      <c r="H27" s="36"/>
      <c r="I27" s="36"/>
      <c r="J27" s="36"/>
      <c r="K27" s="36"/>
      <c r="L27" s="36">
        <f>SUM(H27:K27)</f>
        <v>0</v>
      </c>
      <c r="M27" s="249"/>
      <c r="N27" s="36"/>
      <c r="O27" s="36"/>
      <c r="P27" s="36"/>
    </row>
    <row r="28" spans="1:16" ht="15" thickBot="1" x14ac:dyDescent="0.35">
      <c r="A28" s="249"/>
      <c r="B28" s="358"/>
      <c r="C28" s="359"/>
      <c r="D28" s="267"/>
      <c r="E28" s="359"/>
      <c r="F28" s="41"/>
      <c r="G28" s="41"/>
      <c r="H28" s="41"/>
      <c r="I28" s="41"/>
      <c r="J28" s="41"/>
      <c r="K28" s="41"/>
      <c r="L28" s="41">
        <f>SUM(H28:K28)</f>
        <v>0</v>
      </c>
      <c r="M28" s="250"/>
      <c r="N28" s="41"/>
      <c r="O28" s="41"/>
      <c r="P28" s="41"/>
    </row>
    <row r="29" spans="1:16" ht="15.6" thickTop="1" thickBot="1" x14ac:dyDescent="0.35">
      <c r="A29" s="250"/>
      <c r="B29" s="358"/>
      <c r="C29" s="359"/>
      <c r="D29" s="396"/>
      <c r="E29" s="359"/>
      <c r="F29" s="251" t="s">
        <v>17</v>
      </c>
      <c r="G29" s="252"/>
      <c r="H29" s="14">
        <f>SUM(H24:H28)</f>
        <v>500</v>
      </c>
      <c r="I29" s="14">
        <f t="shared" ref="I29:L29" si="6">SUM(I24:I28)</f>
        <v>11000</v>
      </c>
      <c r="J29" s="14">
        <f t="shared" si="6"/>
        <v>3000</v>
      </c>
      <c r="K29" s="14">
        <f t="shared" si="6"/>
        <v>0</v>
      </c>
      <c r="L29" s="14">
        <f t="shared" si="6"/>
        <v>14500</v>
      </c>
      <c r="M29" s="14"/>
      <c r="N29" s="14">
        <f>M24-L29</f>
        <v>0</v>
      </c>
      <c r="O29" s="14"/>
      <c r="P29" s="14">
        <f t="shared" ref="P29" si="7">SUM(P24:P28)</f>
        <v>0</v>
      </c>
    </row>
    <row r="30" spans="1:16" ht="15.75" customHeight="1" thickTop="1" x14ac:dyDescent="0.3">
      <c r="A30" s="248">
        <v>5</v>
      </c>
      <c r="B30" s="283" t="s">
        <v>704</v>
      </c>
      <c r="C30" s="256" t="s">
        <v>705</v>
      </c>
      <c r="D30" s="256" t="s">
        <v>36</v>
      </c>
      <c r="E30" s="297" t="s">
        <v>574</v>
      </c>
      <c r="F30" s="3">
        <v>6972</v>
      </c>
      <c r="G30" s="29" t="s">
        <v>707</v>
      </c>
      <c r="H30" s="3">
        <v>500</v>
      </c>
      <c r="I30" s="3">
        <v>6500</v>
      </c>
      <c r="J30" s="3">
        <v>3000</v>
      </c>
      <c r="K30" s="3"/>
      <c r="L30" s="4">
        <f>SUM(H30:K30)</f>
        <v>10000</v>
      </c>
      <c r="M30" s="240">
        <v>14500</v>
      </c>
      <c r="N30" s="4"/>
      <c r="O30" s="20" t="s">
        <v>295</v>
      </c>
      <c r="P30" s="3"/>
    </row>
    <row r="31" spans="1:16" x14ac:dyDescent="0.3">
      <c r="A31" s="241"/>
      <c r="B31" s="284"/>
      <c r="C31" s="257"/>
      <c r="D31" s="257"/>
      <c r="E31" s="287"/>
      <c r="F31" s="16"/>
      <c r="G31" s="4"/>
      <c r="H31" s="4"/>
      <c r="I31" s="4"/>
      <c r="J31" s="4"/>
      <c r="K31" s="4"/>
      <c r="L31" s="4">
        <f>SUM(H31:K31)</f>
        <v>0</v>
      </c>
      <c r="M31" s="241"/>
      <c r="N31" s="4"/>
      <c r="O31" s="4"/>
      <c r="P31" s="4"/>
    </row>
    <row r="32" spans="1:16" x14ac:dyDescent="0.3">
      <c r="A32" s="241"/>
      <c r="B32" s="284"/>
      <c r="C32" s="257"/>
      <c r="D32" s="257"/>
      <c r="E32" s="287"/>
      <c r="F32" s="4"/>
      <c r="G32" s="4"/>
      <c r="H32" s="4"/>
      <c r="I32" s="4"/>
      <c r="J32" s="4"/>
      <c r="K32" s="4"/>
      <c r="L32" s="4">
        <f>SUM(H32:K32)</f>
        <v>0</v>
      </c>
      <c r="M32" s="241"/>
      <c r="N32" s="4"/>
      <c r="O32" s="26"/>
      <c r="P32" s="4"/>
    </row>
    <row r="33" spans="1:16" x14ac:dyDescent="0.3">
      <c r="A33" s="241"/>
      <c r="B33" s="284"/>
      <c r="C33" s="257"/>
      <c r="D33" s="257"/>
      <c r="E33" s="287"/>
      <c r="F33" s="4"/>
      <c r="G33" s="4"/>
      <c r="H33" s="4"/>
      <c r="I33" s="4"/>
      <c r="J33" s="4"/>
      <c r="K33" s="4"/>
      <c r="L33" s="4">
        <f>SUM(H33:K33)</f>
        <v>0</v>
      </c>
      <c r="M33" s="241"/>
      <c r="N33" s="4"/>
      <c r="O33" s="4"/>
      <c r="P33" s="4"/>
    </row>
    <row r="34" spans="1:16" ht="15" thickBot="1" x14ac:dyDescent="0.35">
      <c r="A34" s="241"/>
      <c r="B34" s="284"/>
      <c r="C34" s="257"/>
      <c r="D34" s="257"/>
      <c r="E34" s="287"/>
      <c r="F34" s="6"/>
      <c r="G34" s="6"/>
      <c r="H34" s="6"/>
      <c r="I34" s="6"/>
      <c r="J34" s="6"/>
      <c r="K34" s="6"/>
      <c r="L34" s="6">
        <f>SUM(H34:K34)</f>
        <v>0</v>
      </c>
      <c r="M34" s="242"/>
      <c r="N34" s="6"/>
      <c r="O34" s="6"/>
      <c r="P34" s="6"/>
    </row>
    <row r="35" spans="1:16" ht="15.6" thickTop="1" thickBot="1" x14ac:dyDescent="0.35">
      <c r="A35" s="242"/>
      <c r="B35" s="285"/>
      <c r="C35" s="258"/>
      <c r="D35" s="397"/>
      <c r="E35" s="288"/>
      <c r="F35" s="243" t="s">
        <v>17</v>
      </c>
      <c r="G35" s="244"/>
      <c r="H35" s="8">
        <f>SUM(H30:H34)</f>
        <v>500</v>
      </c>
      <c r="I35" s="8">
        <f t="shared" ref="I35:L35" si="8">SUM(I30:I34)</f>
        <v>6500</v>
      </c>
      <c r="J35" s="8">
        <f t="shared" si="8"/>
        <v>3000</v>
      </c>
      <c r="K35" s="8">
        <f t="shared" si="8"/>
        <v>0</v>
      </c>
      <c r="L35" s="8">
        <f t="shared" si="8"/>
        <v>10000</v>
      </c>
      <c r="M35" s="8"/>
      <c r="N35" s="8">
        <f>M30-L35</f>
        <v>4500</v>
      </c>
      <c r="O35" s="8"/>
      <c r="P35" s="8">
        <f t="shared" ref="P35" si="9">SUM(P30:P34)</f>
        <v>0</v>
      </c>
    </row>
    <row r="36" spans="1:16" ht="15" thickTop="1" x14ac:dyDescent="0.3">
      <c r="A36" s="248">
        <v>6</v>
      </c>
      <c r="B36" s="261" t="s">
        <v>796</v>
      </c>
      <c r="C36" s="264" t="s">
        <v>202</v>
      </c>
      <c r="D36" s="280" t="s">
        <v>36</v>
      </c>
      <c r="E36" s="362" t="s">
        <v>797</v>
      </c>
      <c r="F36" s="39">
        <v>7000</v>
      </c>
      <c r="G36" s="47" t="s">
        <v>791</v>
      </c>
      <c r="H36" s="39">
        <v>500</v>
      </c>
      <c r="I36" s="39">
        <v>11000</v>
      </c>
      <c r="J36" s="39">
        <v>3000</v>
      </c>
      <c r="K36" s="39"/>
      <c r="L36" s="36">
        <f>SUM(H36:K36)</f>
        <v>14500</v>
      </c>
      <c r="M36" s="271">
        <v>14500</v>
      </c>
      <c r="N36" s="36"/>
      <c r="O36" s="34" t="s">
        <v>295</v>
      </c>
      <c r="P36" s="39"/>
    </row>
    <row r="37" spans="1:16" x14ac:dyDescent="0.3">
      <c r="A37" s="241"/>
      <c r="B37" s="262"/>
      <c r="C37" s="265"/>
      <c r="D37" s="267"/>
      <c r="E37" s="359"/>
      <c r="F37" s="31"/>
      <c r="G37" s="36"/>
      <c r="H37" s="36"/>
      <c r="I37" s="36"/>
      <c r="J37" s="36"/>
      <c r="K37" s="36"/>
      <c r="L37" s="36">
        <f>SUM(H37:K37)</f>
        <v>0</v>
      </c>
      <c r="M37" s="249"/>
      <c r="N37" s="36"/>
      <c r="O37" s="36"/>
      <c r="P37" s="36"/>
    </row>
    <row r="38" spans="1:16" x14ac:dyDescent="0.3">
      <c r="A38" s="241"/>
      <c r="B38" s="262"/>
      <c r="C38" s="265"/>
      <c r="D38" s="267"/>
      <c r="E38" s="359"/>
      <c r="F38" s="36"/>
      <c r="G38" s="36"/>
      <c r="H38" s="36"/>
      <c r="I38" s="36"/>
      <c r="J38" s="36"/>
      <c r="K38" s="36"/>
      <c r="L38" s="36">
        <f>SUM(H38:K38)</f>
        <v>0</v>
      </c>
      <c r="M38" s="249"/>
      <c r="N38" s="36"/>
      <c r="O38" s="37"/>
      <c r="P38" s="36"/>
    </row>
    <row r="39" spans="1:16" x14ac:dyDescent="0.3">
      <c r="A39" s="241"/>
      <c r="B39" s="262"/>
      <c r="C39" s="265"/>
      <c r="D39" s="267"/>
      <c r="E39" s="359"/>
      <c r="F39" s="36"/>
      <c r="G39" s="36"/>
      <c r="H39" s="36"/>
      <c r="I39" s="36"/>
      <c r="J39" s="36"/>
      <c r="K39" s="36"/>
      <c r="L39" s="36">
        <f>SUM(H39:K39)</f>
        <v>0</v>
      </c>
      <c r="M39" s="249"/>
      <c r="N39" s="36"/>
      <c r="O39" s="36"/>
      <c r="P39" s="36"/>
    </row>
    <row r="40" spans="1:16" ht="15" thickBot="1" x14ac:dyDescent="0.35">
      <c r="A40" s="241"/>
      <c r="B40" s="262"/>
      <c r="C40" s="265"/>
      <c r="D40" s="267"/>
      <c r="E40" s="359"/>
      <c r="F40" s="41"/>
      <c r="G40" s="41"/>
      <c r="H40" s="41"/>
      <c r="I40" s="41"/>
      <c r="J40" s="41"/>
      <c r="K40" s="41"/>
      <c r="L40" s="41">
        <f>SUM(H40:K40)</f>
        <v>0</v>
      </c>
      <c r="M40" s="250"/>
      <c r="N40" s="41"/>
      <c r="O40" s="41"/>
      <c r="P40" s="41"/>
    </row>
    <row r="41" spans="1:16" ht="15.6" thickTop="1" thickBot="1" x14ac:dyDescent="0.35">
      <c r="A41" s="242"/>
      <c r="B41" s="263"/>
      <c r="C41" s="266"/>
      <c r="D41" s="396"/>
      <c r="E41" s="359"/>
      <c r="F41" s="251" t="s">
        <v>17</v>
      </c>
      <c r="G41" s="252"/>
      <c r="H41" s="14">
        <f>SUM(H36:H40)</f>
        <v>500</v>
      </c>
      <c r="I41" s="14">
        <f t="shared" ref="I41:L41" si="10">SUM(I36:I40)</f>
        <v>11000</v>
      </c>
      <c r="J41" s="14">
        <f t="shared" si="10"/>
        <v>3000</v>
      </c>
      <c r="K41" s="14">
        <f t="shared" si="10"/>
        <v>0</v>
      </c>
      <c r="L41" s="14">
        <f t="shared" si="10"/>
        <v>14500</v>
      </c>
      <c r="M41" s="14"/>
      <c r="N41" s="14">
        <f>M36-L41</f>
        <v>0</v>
      </c>
      <c r="O41" s="14"/>
      <c r="P41" s="14">
        <f t="shared" ref="P41" si="11">SUM(P36:P40)</f>
        <v>0</v>
      </c>
    </row>
    <row r="42" spans="1:16" ht="15" thickTop="1" x14ac:dyDescent="0.3">
      <c r="A42" s="248">
        <v>7</v>
      </c>
      <c r="B42" s="253"/>
      <c r="C42" s="256"/>
      <c r="D42" s="351"/>
      <c r="E42" s="357"/>
      <c r="F42" s="3"/>
      <c r="G42" s="29"/>
      <c r="H42" s="3"/>
      <c r="I42" s="3"/>
      <c r="J42" s="3"/>
      <c r="K42" s="3"/>
      <c r="L42" s="4">
        <f>SUM(H42:K42)</f>
        <v>0</v>
      </c>
      <c r="M42" s="240"/>
      <c r="N42" s="4"/>
      <c r="O42" s="20"/>
      <c r="P42" s="3"/>
    </row>
    <row r="43" spans="1:16" x14ac:dyDescent="0.3">
      <c r="A43" s="241"/>
      <c r="B43" s="254"/>
      <c r="C43" s="257"/>
      <c r="D43" s="351"/>
      <c r="E43" s="351"/>
      <c r="F43" s="16"/>
      <c r="G43" s="4"/>
      <c r="H43" s="4"/>
      <c r="I43" s="4"/>
      <c r="J43" s="4"/>
      <c r="K43" s="4"/>
      <c r="L43" s="4">
        <f>SUM(H43:K43)</f>
        <v>0</v>
      </c>
      <c r="M43" s="241"/>
      <c r="N43" s="4"/>
      <c r="O43" s="4"/>
      <c r="P43" s="4"/>
    </row>
    <row r="44" spans="1:16" x14ac:dyDescent="0.3">
      <c r="A44" s="241"/>
      <c r="B44" s="254"/>
      <c r="C44" s="257"/>
      <c r="D44" s="351"/>
      <c r="E44" s="351"/>
      <c r="F44" s="4"/>
      <c r="G44" s="4"/>
      <c r="H44" s="4"/>
      <c r="I44" s="4"/>
      <c r="J44" s="4"/>
      <c r="K44" s="4"/>
      <c r="L44" s="4">
        <f>SUM(H44:K44)</f>
        <v>0</v>
      </c>
      <c r="M44" s="241"/>
      <c r="N44" s="4"/>
      <c r="O44" s="26"/>
      <c r="P44" s="4"/>
    </row>
    <row r="45" spans="1:16" x14ac:dyDescent="0.3">
      <c r="A45" s="241"/>
      <c r="B45" s="254"/>
      <c r="C45" s="257"/>
      <c r="D45" s="351"/>
      <c r="E45" s="351"/>
      <c r="F45" s="4"/>
      <c r="G45" s="4"/>
      <c r="H45" s="4"/>
      <c r="I45" s="4"/>
      <c r="J45" s="4"/>
      <c r="K45" s="4"/>
      <c r="L45" s="4">
        <f>SUM(H45:K45)</f>
        <v>0</v>
      </c>
      <c r="M45" s="241"/>
      <c r="N45" s="4"/>
      <c r="O45" s="4"/>
      <c r="P45" s="4"/>
    </row>
    <row r="46" spans="1:16" ht="15" thickBot="1" x14ac:dyDescent="0.35">
      <c r="A46" s="241"/>
      <c r="B46" s="254"/>
      <c r="C46" s="257"/>
      <c r="D46" s="351"/>
      <c r="E46" s="351"/>
      <c r="F46" s="6"/>
      <c r="G46" s="6"/>
      <c r="H46" s="6"/>
      <c r="I46" s="6"/>
      <c r="J46" s="6"/>
      <c r="K46" s="6"/>
      <c r="L46" s="6">
        <f>SUM(H46:K46)</f>
        <v>0</v>
      </c>
      <c r="M46" s="242"/>
      <c r="N46" s="6"/>
      <c r="O46" s="6"/>
      <c r="P46" s="6"/>
    </row>
    <row r="47" spans="1:16" ht="15.6" thickTop="1" thickBot="1" x14ac:dyDescent="0.35">
      <c r="A47" s="242"/>
      <c r="B47" s="255"/>
      <c r="C47" s="258"/>
      <c r="D47" s="351"/>
      <c r="E47" s="351"/>
      <c r="F47" s="243" t="s">
        <v>17</v>
      </c>
      <c r="G47" s="244"/>
      <c r="H47" s="8">
        <f>SUM(H42:H46)</f>
        <v>0</v>
      </c>
      <c r="I47" s="8">
        <f t="shared" ref="I47:L47" si="12">SUM(I42:I46)</f>
        <v>0</v>
      </c>
      <c r="J47" s="8">
        <f t="shared" si="12"/>
        <v>0</v>
      </c>
      <c r="K47" s="8">
        <f t="shared" si="12"/>
        <v>0</v>
      </c>
      <c r="L47" s="8">
        <f t="shared" si="12"/>
        <v>0</v>
      </c>
      <c r="M47" s="8"/>
      <c r="N47" s="8">
        <f>M42-L47</f>
        <v>0</v>
      </c>
      <c r="O47" s="8"/>
      <c r="P47" s="8">
        <f t="shared" ref="P47" si="13">SUM(P42:P46)</f>
        <v>0</v>
      </c>
    </row>
    <row r="48" spans="1:16" ht="16.2" thickTop="1" x14ac:dyDescent="0.3">
      <c r="A48" s="372" t="s">
        <v>15</v>
      </c>
      <c r="B48" s="373"/>
      <c r="C48" s="373"/>
      <c r="D48" s="373"/>
      <c r="E48" s="373"/>
      <c r="F48" s="373"/>
      <c r="G48" s="374"/>
      <c r="H48" s="2">
        <f t="shared" ref="H48:K48" si="14">+H23+H17+H11+H29+H35+H41+H47</f>
        <v>3000</v>
      </c>
      <c r="I48" s="2">
        <f t="shared" si="14"/>
        <v>47000</v>
      </c>
      <c r="J48" s="2">
        <f t="shared" si="14"/>
        <v>18000</v>
      </c>
      <c r="K48" s="2">
        <f t="shared" si="14"/>
        <v>0</v>
      </c>
      <c r="L48" s="2">
        <f>+L23+L17+L11+L29+L35+L41+L47</f>
        <v>68000</v>
      </c>
      <c r="M48" s="2">
        <f>+M42+M36+M30+M24+M18+M12+M6</f>
        <v>87000</v>
      </c>
      <c r="N48" s="2">
        <f>+N23+N17+N11+N29+N35+N41+N47</f>
        <v>19000</v>
      </c>
      <c r="O48" s="2"/>
      <c r="P48" s="2">
        <f t="shared" ref="P48" si="15">+P23+P17+P11</f>
        <v>0</v>
      </c>
    </row>
    <row r="50" spans="4:5" x14ac:dyDescent="0.3">
      <c r="D50" s="19"/>
      <c r="E50" s="19"/>
    </row>
  </sheetData>
  <mergeCells count="54">
    <mergeCell ref="A1:O1"/>
    <mergeCell ref="A2:O2"/>
    <mergeCell ref="A3:O3"/>
    <mergeCell ref="A4:O4"/>
    <mergeCell ref="A6:A11"/>
    <mergeCell ref="B6:B11"/>
    <mergeCell ref="C6:C11"/>
    <mergeCell ref="D6:D11"/>
    <mergeCell ref="E6:E11"/>
    <mergeCell ref="M6:M10"/>
    <mergeCell ref="F11:G11"/>
    <mergeCell ref="A48:G48"/>
    <mergeCell ref="M12:M16"/>
    <mergeCell ref="F17:G17"/>
    <mergeCell ref="A18:A23"/>
    <mergeCell ref="B18:B23"/>
    <mergeCell ref="C18:C23"/>
    <mergeCell ref="D18:D23"/>
    <mergeCell ref="E18:E23"/>
    <mergeCell ref="M18:M22"/>
    <mergeCell ref="F23:G23"/>
    <mergeCell ref="A12:A17"/>
    <mergeCell ref="B12:B17"/>
    <mergeCell ref="C12:C17"/>
    <mergeCell ref="D12:D17"/>
    <mergeCell ref="E12:E17"/>
    <mergeCell ref="A24:A29"/>
    <mergeCell ref="B24:B29"/>
    <mergeCell ref="C24:C29"/>
    <mergeCell ref="D24:D29"/>
    <mergeCell ref="E24:E29"/>
    <mergeCell ref="M24:M28"/>
    <mergeCell ref="F29:G29"/>
    <mergeCell ref="M30:M34"/>
    <mergeCell ref="F35:G35"/>
    <mergeCell ref="A36:A41"/>
    <mergeCell ref="B36:B41"/>
    <mergeCell ref="C36:C41"/>
    <mergeCell ref="D36:D41"/>
    <mergeCell ref="E36:E41"/>
    <mergeCell ref="M36:M40"/>
    <mergeCell ref="F41:G41"/>
    <mergeCell ref="A30:A35"/>
    <mergeCell ref="B30:B35"/>
    <mergeCell ref="C30:C35"/>
    <mergeCell ref="D30:D35"/>
    <mergeCell ref="E30:E35"/>
    <mergeCell ref="M42:M46"/>
    <mergeCell ref="F47:G47"/>
    <mergeCell ref="A42:A47"/>
    <mergeCell ref="B42:B47"/>
    <mergeCell ref="C42:C47"/>
    <mergeCell ref="D42:D47"/>
    <mergeCell ref="E42:E47"/>
  </mergeCells>
  <pageMargins left="0.15748031496062992" right="0" top="0.15748031496062992" bottom="0.23622047244094491" header="0.31496062992125984" footer="0.31496062992125984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3"/>
  <sheetViews>
    <sheetView topLeftCell="A16" workbookViewId="0">
      <selection activeCell="F26" sqref="F26"/>
    </sheetView>
  </sheetViews>
  <sheetFormatPr defaultRowHeight="14.4" x14ac:dyDescent="0.3"/>
  <cols>
    <col min="1" max="1" width="3.6640625" customWidth="1"/>
    <col min="2" max="2" width="19.5546875" customWidth="1"/>
    <col min="3" max="3" width="10.44140625" customWidth="1"/>
    <col min="4" max="4" width="9.44140625" customWidth="1"/>
    <col min="5" max="5" width="10.44140625" customWidth="1"/>
    <col min="6" max="6" width="11.5546875" customWidth="1"/>
    <col min="7" max="7" width="11.33203125" customWidth="1"/>
    <col min="8" max="8" width="12.6640625" customWidth="1"/>
  </cols>
  <sheetData>
    <row r="1" spans="1:8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</row>
    <row r="2" spans="1:8" ht="20.399999999999999" x14ac:dyDescent="0.35">
      <c r="A2" s="317" t="s">
        <v>11</v>
      </c>
      <c r="B2" s="317"/>
      <c r="C2" s="317"/>
      <c r="D2" s="317"/>
      <c r="E2" s="317"/>
      <c r="F2" s="317"/>
      <c r="G2" s="317"/>
      <c r="H2" s="317"/>
    </row>
    <row r="3" spans="1:8" ht="21" thickBot="1" x14ac:dyDescent="0.4">
      <c r="A3" s="403" t="s">
        <v>12</v>
      </c>
      <c r="B3" s="403"/>
      <c r="C3" s="403"/>
      <c r="D3" s="403"/>
      <c r="E3" s="403"/>
      <c r="F3" s="403"/>
      <c r="G3" s="403"/>
      <c r="H3" s="403"/>
    </row>
    <row r="4" spans="1:8" ht="25.5" customHeight="1" x14ac:dyDescent="0.35">
      <c r="A4" s="404" t="s">
        <v>445</v>
      </c>
      <c r="B4" s="404"/>
      <c r="C4" s="404"/>
      <c r="D4" s="404"/>
      <c r="E4" s="404"/>
      <c r="F4" s="404"/>
      <c r="G4" s="404"/>
      <c r="H4" s="404"/>
    </row>
    <row r="6" spans="1:8" ht="33" customHeight="1" x14ac:dyDescent="0.3">
      <c r="A6" s="9" t="s">
        <v>0</v>
      </c>
      <c r="B6" s="10" t="s">
        <v>21</v>
      </c>
      <c r="C6" s="12" t="s">
        <v>28</v>
      </c>
      <c r="D6" s="11" t="s">
        <v>18</v>
      </c>
      <c r="E6" s="11" t="s">
        <v>19</v>
      </c>
      <c r="F6" s="11" t="s">
        <v>43</v>
      </c>
      <c r="G6" s="11" t="s">
        <v>42</v>
      </c>
      <c r="H6" s="11" t="s">
        <v>20</v>
      </c>
    </row>
    <row r="7" spans="1:8" ht="35.25" customHeight="1" x14ac:dyDescent="0.3">
      <c r="A7" s="117">
        <v>1</v>
      </c>
      <c r="B7" s="118" t="s">
        <v>22</v>
      </c>
      <c r="C7" s="119" t="s">
        <v>29</v>
      </c>
      <c r="D7" s="119">
        <v>13</v>
      </c>
      <c r="E7" s="120">
        <v>17500</v>
      </c>
      <c r="F7" s="121">
        <f>+'Genera A'!M102</f>
        <v>210000</v>
      </c>
      <c r="G7" s="120">
        <f>+'Genera A'!L102</f>
        <v>135000</v>
      </c>
      <c r="H7" s="120">
        <f>+F7-G7</f>
        <v>75000</v>
      </c>
    </row>
    <row r="8" spans="1:8" ht="35.25" customHeight="1" x14ac:dyDescent="0.3">
      <c r="A8" s="117">
        <v>2</v>
      </c>
      <c r="B8" s="118" t="s">
        <v>22</v>
      </c>
      <c r="C8" s="119" t="s">
        <v>30</v>
      </c>
      <c r="D8" s="119">
        <v>79</v>
      </c>
      <c r="E8" s="120">
        <v>14500</v>
      </c>
      <c r="F8" s="121">
        <f>+'Individual Register 2025-2026'!M498</f>
        <v>1125700</v>
      </c>
      <c r="G8" s="120">
        <f>+'Individual Register 2025-2026'!L498</f>
        <v>801000</v>
      </c>
      <c r="H8" s="120">
        <f>+F8-G8</f>
        <v>324700</v>
      </c>
    </row>
    <row r="9" spans="1:8" ht="24.75" customHeight="1" x14ac:dyDescent="0.3">
      <c r="A9" s="119">
        <v>3</v>
      </c>
      <c r="B9" s="120" t="s">
        <v>40</v>
      </c>
      <c r="C9" s="117" t="s">
        <v>31</v>
      </c>
      <c r="D9" s="119">
        <v>0</v>
      </c>
      <c r="E9" s="120">
        <v>17500</v>
      </c>
      <c r="F9" s="121">
        <f>+'D.Pharm  (A)'!M18</f>
        <v>0</v>
      </c>
      <c r="G9" s="120">
        <f>+'D.Pharm  (A)'!L18</f>
        <v>0</v>
      </c>
      <c r="H9" s="120">
        <f t="shared" ref="H9:H24" si="0">+F9-G9</f>
        <v>0</v>
      </c>
    </row>
    <row r="10" spans="1:8" ht="24.75" customHeight="1" x14ac:dyDescent="0.3">
      <c r="A10" s="119">
        <v>4</v>
      </c>
      <c r="B10" s="120" t="s">
        <v>40</v>
      </c>
      <c r="C10" s="117" t="s">
        <v>32</v>
      </c>
      <c r="D10" s="119">
        <v>5</v>
      </c>
      <c r="E10" s="120">
        <v>14500</v>
      </c>
      <c r="F10" s="121">
        <f>+'D.Pharm (B)'!M54</f>
        <v>72500</v>
      </c>
      <c r="G10" s="120">
        <f>+'D.Pharm (B)'!L54</f>
        <v>45000</v>
      </c>
      <c r="H10" s="120">
        <f t="shared" si="0"/>
        <v>27500</v>
      </c>
    </row>
    <row r="11" spans="1:8" ht="24.75" customHeight="1" x14ac:dyDescent="0.3">
      <c r="A11" s="119">
        <v>5</v>
      </c>
      <c r="B11" s="120" t="s">
        <v>27</v>
      </c>
      <c r="C11" s="117" t="s">
        <v>33</v>
      </c>
      <c r="D11" s="119">
        <v>6</v>
      </c>
      <c r="E11" s="120">
        <v>17500</v>
      </c>
      <c r="F11" s="121">
        <f>+'B.Pharm I'!M60</f>
        <v>122500</v>
      </c>
      <c r="G11" s="120">
        <f>+'B.Pharm I'!L60</f>
        <v>63500</v>
      </c>
      <c r="H11" s="120">
        <f t="shared" si="0"/>
        <v>59000</v>
      </c>
    </row>
    <row r="12" spans="1:8" ht="24.75" customHeight="1" x14ac:dyDescent="0.3">
      <c r="A12" s="119">
        <v>6</v>
      </c>
      <c r="B12" s="120" t="s">
        <v>27</v>
      </c>
      <c r="C12" s="117" t="s">
        <v>34</v>
      </c>
      <c r="D12" s="119">
        <v>0</v>
      </c>
      <c r="E12" s="120">
        <v>14500</v>
      </c>
      <c r="F12" s="121">
        <f>+'B.Pharm I (B)'!M18</f>
        <v>0</v>
      </c>
      <c r="G12" s="120">
        <f>+'B.Pharm I (B)'!L18</f>
        <v>0</v>
      </c>
      <c r="H12" s="120">
        <f t="shared" si="0"/>
        <v>0</v>
      </c>
    </row>
    <row r="13" spans="1:8" ht="24.75" customHeight="1" x14ac:dyDescent="0.3">
      <c r="A13" s="119">
        <v>7</v>
      </c>
      <c r="B13" s="120" t="s">
        <v>24</v>
      </c>
      <c r="C13" s="117" t="s">
        <v>35</v>
      </c>
      <c r="D13" s="119">
        <v>15</v>
      </c>
      <c r="E13" s="120">
        <v>17500</v>
      </c>
      <c r="F13" s="121">
        <f>+'B.Pharm II'!M114</f>
        <v>262500</v>
      </c>
      <c r="G13" s="120">
        <f>+'B.Pharm II'!L114</f>
        <v>180000</v>
      </c>
      <c r="H13" s="120">
        <f t="shared" si="0"/>
        <v>82500</v>
      </c>
    </row>
    <row r="14" spans="1:8" ht="24.75" customHeight="1" x14ac:dyDescent="0.3">
      <c r="A14" s="119">
        <v>8</v>
      </c>
      <c r="B14" s="120" t="s">
        <v>24</v>
      </c>
      <c r="C14" s="117" t="s">
        <v>34</v>
      </c>
      <c r="D14" s="119">
        <v>3</v>
      </c>
      <c r="E14" s="120">
        <v>14500</v>
      </c>
      <c r="F14" s="121">
        <f>+'B.Pharm II (B)'!M49</f>
        <v>43500</v>
      </c>
      <c r="G14" s="120">
        <f>+'B.Pharm II (B)'!L49</f>
        <v>26000</v>
      </c>
      <c r="H14" s="120">
        <f t="shared" si="0"/>
        <v>17500</v>
      </c>
    </row>
    <row r="15" spans="1:8" ht="24.75" customHeight="1" x14ac:dyDescent="0.3">
      <c r="A15" s="119">
        <v>9</v>
      </c>
      <c r="B15" s="120" t="s">
        <v>25</v>
      </c>
      <c r="C15" s="117" t="s">
        <v>35</v>
      </c>
      <c r="D15" s="119">
        <v>8</v>
      </c>
      <c r="E15" s="120">
        <v>17500</v>
      </c>
      <c r="F15" s="121">
        <f>+'B.Pharm III'!M109</f>
        <v>140000</v>
      </c>
      <c r="G15" s="120">
        <f>+'B.Pharm III'!L109</f>
        <v>94000</v>
      </c>
      <c r="H15" s="120">
        <f>+F15-G15</f>
        <v>46000</v>
      </c>
    </row>
    <row r="16" spans="1:8" ht="24.75" customHeight="1" x14ac:dyDescent="0.3">
      <c r="A16" s="119">
        <v>10</v>
      </c>
      <c r="B16" s="120" t="s">
        <v>25</v>
      </c>
      <c r="C16" s="117" t="s">
        <v>34</v>
      </c>
      <c r="D16" s="119">
        <v>3</v>
      </c>
      <c r="E16" s="120">
        <v>14500</v>
      </c>
      <c r="F16" s="121">
        <f>+'B.Pharm III (B)'!M60</f>
        <v>43500</v>
      </c>
      <c r="G16" s="120">
        <f>+'B.Pharm III (B)'!L60</f>
        <v>29500</v>
      </c>
      <c r="H16" s="120">
        <f>+'B.Pharm III (B)'!N60</f>
        <v>14000</v>
      </c>
    </row>
    <row r="17" spans="1:9" ht="24.75" customHeight="1" x14ac:dyDescent="0.3">
      <c r="A17" s="119">
        <v>11</v>
      </c>
      <c r="B17" s="120" t="s">
        <v>36</v>
      </c>
      <c r="C17" s="117" t="s">
        <v>35</v>
      </c>
      <c r="D17" s="119">
        <v>19</v>
      </c>
      <c r="E17" s="120">
        <v>17500</v>
      </c>
      <c r="F17" s="121">
        <f>+'B.Pharm IV'!M127</f>
        <v>332500</v>
      </c>
      <c r="G17" s="120">
        <f>+'B.Pharm IV'!L127</f>
        <v>223000</v>
      </c>
      <c r="H17" s="120">
        <f t="shared" si="0"/>
        <v>109500</v>
      </c>
    </row>
    <row r="18" spans="1:9" ht="24.75" customHeight="1" x14ac:dyDescent="0.3">
      <c r="A18" s="119">
        <v>12</v>
      </c>
      <c r="B18" s="120" t="s">
        <v>36</v>
      </c>
      <c r="C18" s="117" t="s">
        <v>34</v>
      </c>
      <c r="D18" s="119">
        <v>6</v>
      </c>
      <c r="E18" s="120">
        <v>14500</v>
      </c>
      <c r="F18" s="121">
        <f>+'B.Pharm IV (B)'!M48</f>
        <v>87000</v>
      </c>
      <c r="G18" s="120">
        <f>+'B.Pharm IV (B)'!L48</f>
        <v>68000</v>
      </c>
      <c r="H18" s="120">
        <f t="shared" si="0"/>
        <v>19000</v>
      </c>
    </row>
    <row r="19" spans="1:9" ht="24.75" customHeight="1" x14ac:dyDescent="0.3">
      <c r="A19" s="119">
        <v>13</v>
      </c>
      <c r="B19" s="120" t="s">
        <v>37</v>
      </c>
      <c r="C19" s="117" t="s">
        <v>35</v>
      </c>
      <c r="D19" s="119">
        <v>10</v>
      </c>
      <c r="E19" s="120">
        <v>17500</v>
      </c>
      <c r="F19" s="121">
        <f>+'M.Pharm I &amp; II'!M79</f>
        <v>192500</v>
      </c>
      <c r="G19" s="120">
        <f>+'M.Pharm I &amp; II'!L79</f>
        <v>101500</v>
      </c>
      <c r="H19" s="120">
        <f t="shared" si="0"/>
        <v>91000</v>
      </c>
    </row>
    <row r="20" spans="1:9" ht="24.75" customHeight="1" x14ac:dyDescent="0.3">
      <c r="A20" s="119">
        <v>14</v>
      </c>
      <c r="B20" s="120" t="s">
        <v>37</v>
      </c>
      <c r="C20" s="117" t="s">
        <v>34</v>
      </c>
      <c r="D20" s="119">
        <v>2</v>
      </c>
      <c r="E20" s="120">
        <v>14500</v>
      </c>
      <c r="F20" s="121">
        <f>+'M.Pharm I &amp; II (B)'!M42</f>
        <v>29000</v>
      </c>
      <c r="G20" s="120">
        <f>+'M.Pharm I &amp; II (B)'!L42</f>
        <v>18000</v>
      </c>
      <c r="H20" s="120">
        <f t="shared" si="0"/>
        <v>11000</v>
      </c>
    </row>
    <row r="21" spans="1:9" ht="24.75" customHeight="1" x14ac:dyDescent="0.3">
      <c r="A21" s="119">
        <v>15</v>
      </c>
      <c r="B21" s="120" t="s">
        <v>38</v>
      </c>
      <c r="C21" s="117" t="s">
        <v>35</v>
      </c>
      <c r="D21" s="119">
        <v>1</v>
      </c>
      <c r="E21" s="120">
        <v>17500</v>
      </c>
      <c r="F21" s="121">
        <f>+'B.Ed I &amp; II'!M36</f>
        <v>17500</v>
      </c>
      <c r="G21" s="120">
        <f>+'B.Ed I &amp; II'!L36</f>
        <v>5000</v>
      </c>
      <c r="H21" s="120">
        <f t="shared" si="0"/>
        <v>12500</v>
      </c>
    </row>
    <row r="22" spans="1:9" ht="24.75" customHeight="1" x14ac:dyDescent="0.3">
      <c r="A22" s="119">
        <v>16</v>
      </c>
      <c r="B22" s="120" t="s">
        <v>38</v>
      </c>
      <c r="C22" s="117" t="s">
        <v>34</v>
      </c>
      <c r="D22" s="119">
        <v>16</v>
      </c>
      <c r="E22" s="120">
        <v>14500</v>
      </c>
      <c r="F22" s="121">
        <f>+'B.Ed I &amp; II (B)'!M109</f>
        <v>232000</v>
      </c>
      <c r="G22" s="120">
        <f>+'B.Ed I &amp; II (B)'!L109</f>
        <v>155500</v>
      </c>
      <c r="H22" s="120">
        <f t="shared" si="0"/>
        <v>76500</v>
      </c>
    </row>
    <row r="23" spans="1:9" ht="24.75" customHeight="1" x14ac:dyDescent="0.3">
      <c r="A23" s="119">
        <v>17</v>
      </c>
      <c r="B23" s="120" t="s">
        <v>39</v>
      </c>
      <c r="C23" s="117" t="s">
        <v>35</v>
      </c>
      <c r="D23" s="119">
        <v>1</v>
      </c>
      <c r="E23" s="120">
        <v>17500</v>
      </c>
      <c r="F23" s="121">
        <f>+'M.Sc I &amp; II '!M30</f>
        <v>17500</v>
      </c>
      <c r="G23" s="120">
        <f>+'M.Sc I &amp; II '!L30</f>
        <v>17500</v>
      </c>
      <c r="H23" s="120">
        <f t="shared" si="0"/>
        <v>0</v>
      </c>
    </row>
    <row r="24" spans="1:9" ht="24.75" customHeight="1" x14ac:dyDescent="0.3">
      <c r="A24" s="139">
        <v>18</v>
      </c>
      <c r="B24" s="120" t="s">
        <v>39</v>
      </c>
      <c r="C24" s="117" t="s">
        <v>34</v>
      </c>
      <c r="D24" s="119">
        <v>2</v>
      </c>
      <c r="E24" s="120">
        <v>14500</v>
      </c>
      <c r="F24" s="121">
        <f>+'M.Sc I &amp; II  (B)'!M30</f>
        <v>16000</v>
      </c>
      <c r="G24" s="120">
        <f>+'M.Sc I &amp; II  (B)'!L30</f>
        <v>7000</v>
      </c>
      <c r="H24" s="120">
        <f t="shared" si="0"/>
        <v>9000</v>
      </c>
    </row>
    <row r="25" spans="1:9" ht="24.75" customHeight="1" x14ac:dyDescent="0.3">
      <c r="A25" s="42">
        <v>19</v>
      </c>
      <c r="B25" s="43" t="s">
        <v>23</v>
      </c>
      <c r="C25" s="44"/>
      <c r="D25" s="21">
        <v>118</v>
      </c>
      <c r="E25" s="60">
        <v>0</v>
      </c>
      <c r="F25" s="58">
        <f>+'Temporary Adm'!J740</f>
        <v>121750</v>
      </c>
      <c r="G25" s="149">
        <f>+'Temporary Adm'!I740</f>
        <v>118450</v>
      </c>
      <c r="H25" s="150">
        <f>+F25-G25</f>
        <v>3300</v>
      </c>
    </row>
    <row r="26" spans="1:9" ht="15.6" x14ac:dyDescent="0.3">
      <c r="A26" s="400" t="s">
        <v>17</v>
      </c>
      <c r="B26" s="401"/>
      <c r="C26" s="402"/>
      <c r="D26" s="45">
        <f t="shared" ref="D26:G26" si="1">SUM(D7:D25)</f>
        <v>307</v>
      </c>
      <c r="E26" s="45"/>
      <c r="F26" s="45">
        <f>SUM(F7:F25)</f>
        <v>3065950</v>
      </c>
      <c r="G26" s="45">
        <f t="shared" si="1"/>
        <v>2087950</v>
      </c>
      <c r="H26" s="45">
        <f>SUM(H7:H25)</f>
        <v>978000</v>
      </c>
    </row>
    <row r="27" spans="1:9" x14ac:dyDescent="0.3">
      <c r="D27" s="156">
        <f>+D26-D25</f>
        <v>189</v>
      </c>
    </row>
    <row r="28" spans="1:9" ht="15.6" x14ac:dyDescent="0.3">
      <c r="D28" s="50"/>
      <c r="G28" s="159" t="s">
        <v>53</v>
      </c>
      <c r="H28" s="124">
        <v>2284950</v>
      </c>
      <c r="I28" s="124" t="s">
        <v>770</v>
      </c>
    </row>
    <row r="29" spans="1:9" x14ac:dyDescent="0.3">
      <c r="B29" t="s">
        <v>51</v>
      </c>
      <c r="C29">
        <v>0</v>
      </c>
      <c r="E29" t="s">
        <v>70</v>
      </c>
      <c r="F29">
        <f>+D11+D12+D13+D14+D15+D16++D17+D18+D19+D20</f>
        <v>72</v>
      </c>
      <c r="G29" s="159"/>
    </row>
    <row r="30" spans="1:9" x14ac:dyDescent="0.3">
      <c r="B30" t="s">
        <v>52</v>
      </c>
      <c r="C30">
        <v>0</v>
      </c>
      <c r="E30" t="s">
        <v>71</v>
      </c>
      <c r="F30">
        <f>+D7+D8+D23+D24</f>
        <v>95</v>
      </c>
      <c r="G30" s="159" t="s">
        <v>53</v>
      </c>
    </row>
    <row r="31" spans="1:9" x14ac:dyDescent="0.3">
      <c r="B31" t="s">
        <v>34</v>
      </c>
      <c r="C31">
        <v>1</v>
      </c>
      <c r="E31" t="s">
        <v>72</v>
      </c>
      <c r="F31">
        <f>+D21+D22</f>
        <v>17</v>
      </c>
    </row>
    <row r="32" spans="1:9" x14ac:dyDescent="0.3">
      <c r="B32" t="s">
        <v>35</v>
      </c>
      <c r="C32">
        <v>0</v>
      </c>
      <c r="E32" t="s">
        <v>73</v>
      </c>
      <c r="F32">
        <f>+D9+D10</f>
        <v>5</v>
      </c>
    </row>
    <row r="33" spans="3:6" ht="15.6" x14ac:dyDescent="0.3">
      <c r="C33" s="157">
        <f>SUM(C29:C32)</f>
        <v>1</v>
      </c>
      <c r="F33" s="156">
        <f>SUM(F29:F32)</f>
        <v>189</v>
      </c>
    </row>
  </sheetData>
  <mergeCells count="5">
    <mergeCell ref="A26:C26"/>
    <mergeCell ref="A1:H1"/>
    <mergeCell ref="A2:H2"/>
    <mergeCell ref="A3:H3"/>
    <mergeCell ref="A4:H4"/>
  </mergeCells>
  <pageMargins left="0.7" right="0.45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04"/>
  <sheetViews>
    <sheetView workbookViewId="0">
      <pane xSplit="5" ySplit="5" topLeftCell="F59" activePane="bottomRight" state="frozen"/>
      <selection pane="topRight" activeCell="F1" sqref="F1"/>
      <selection pane="bottomLeft" activeCell="A6" sqref="A6"/>
      <selection pane="bottomRight" activeCell="B72" sqref="B72:B77"/>
    </sheetView>
  </sheetViews>
  <sheetFormatPr defaultRowHeight="14.4" x14ac:dyDescent="0.3"/>
  <cols>
    <col min="1" max="1" width="3.5546875" customWidth="1"/>
    <col min="2" max="2" width="29.44140625" customWidth="1"/>
    <col min="3" max="3" width="6.44140625" customWidth="1"/>
    <col min="4" max="4" width="8.5546875" customWidth="1"/>
    <col min="5" max="5" width="10.88671875" customWidth="1"/>
    <col min="6" max="6" width="7.5546875" customWidth="1"/>
    <col min="7" max="7" width="10.6640625" customWidth="1"/>
    <col min="8" max="8" width="8.5546875" customWidth="1"/>
    <col min="9" max="9" width="9.5546875" customWidth="1"/>
    <col min="10" max="10" width="10" customWidth="1"/>
    <col min="11" max="11" width="7.5546875" customWidth="1"/>
    <col min="12" max="12" width="10.109375" customWidth="1"/>
    <col min="13" max="13" width="11.109375" customWidth="1"/>
    <col min="14" max="14" width="12.109375" customWidth="1"/>
    <col min="15" max="15" width="14.33203125" style="84" customWidth="1"/>
    <col min="16" max="16" width="9" customWidth="1"/>
  </cols>
  <sheetData>
    <row r="1" spans="1:16" ht="18" customHeight="1" x14ac:dyDescent="0.3">
      <c r="A1" s="319" t="s">
        <v>10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</row>
    <row r="2" spans="1:16" ht="21.75" customHeight="1" x14ac:dyDescent="0.4">
      <c r="A2" s="342" t="s">
        <v>11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</row>
    <row r="3" spans="1:16" ht="18" customHeight="1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</row>
    <row r="4" spans="1:16" ht="25.2" x14ac:dyDescent="0.45">
      <c r="A4" s="320" t="s">
        <v>427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</row>
    <row r="5" spans="1:16" ht="40.200000000000003" thickBot="1" x14ac:dyDescent="0.35">
      <c r="A5" s="74" t="s">
        <v>0</v>
      </c>
      <c r="B5" s="75" t="s">
        <v>13</v>
      </c>
      <c r="C5" s="61" t="s">
        <v>14</v>
      </c>
      <c r="D5" s="76" t="s">
        <v>1</v>
      </c>
      <c r="E5" s="61" t="s">
        <v>2</v>
      </c>
      <c r="F5" s="61" t="s">
        <v>8</v>
      </c>
      <c r="G5" s="61" t="s">
        <v>9</v>
      </c>
      <c r="H5" s="61" t="s">
        <v>46</v>
      </c>
      <c r="I5" s="61" t="s">
        <v>3</v>
      </c>
      <c r="J5" s="61" t="s">
        <v>4</v>
      </c>
      <c r="K5" s="61" t="s">
        <v>5</v>
      </c>
      <c r="L5" s="61" t="s">
        <v>15</v>
      </c>
      <c r="M5" s="61" t="s">
        <v>49</v>
      </c>
      <c r="N5" s="61" t="s">
        <v>6</v>
      </c>
      <c r="O5" s="102" t="s">
        <v>7</v>
      </c>
      <c r="P5" s="61" t="s">
        <v>44</v>
      </c>
    </row>
    <row r="6" spans="1:16" ht="15.75" customHeight="1" thickTop="1" x14ac:dyDescent="0.3">
      <c r="A6" s="241">
        <v>1</v>
      </c>
      <c r="B6" s="253" t="s">
        <v>325</v>
      </c>
      <c r="C6" s="256" t="s">
        <v>321</v>
      </c>
      <c r="D6" s="381" t="s">
        <v>322</v>
      </c>
      <c r="E6" s="371" t="s">
        <v>323</v>
      </c>
      <c r="F6" s="3">
        <v>6744</v>
      </c>
      <c r="G6" s="29" t="s">
        <v>324</v>
      </c>
      <c r="H6" s="4">
        <v>500</v>
      </c>
      <c r="I6" s="4">
        <v>6500</v>
      </c>
      <c r="J6" s="4">
        <v>3000</v>
      </c>
      <c r="K6" s="4"/>
      <c r="L6" s="4">
        <f>SUM(H6:K6)</f>
        <v>10000</v>
      </c>
      <c r="M6" s="340">
        <v>17500</v>
      </c>
      <c r="N6" s="4"/>
      <c r="O6" s="71" t="s">
        <v>295</v>
      </c>
      <c r="P6" s="39"/>
    </row>
    <row r="7" spans="1:16" x14ac:dyDescent="0.3">
      <c r="A7" s="241"/>
      <c r="B7" s="254"/>
      <c r="C7" s="257"/>
      <c r="D7" s="381"/>
      <c r="E7" s="257"/>
      <c r="F7" s="16"/>
      <c r="G7" s="4"/>
      <c r="H7" s="4"/>
      <c r="I7" s="4"/>
      <c r="J7" s="4"/>
      <c r="K7" s="4"/>
      <c r="L7" s="4">
        <f>SUM(H7:K7)</f>
        <v>0</v>
      </c>
      <c r="M7" s="340"/>
      <c r="N7" s="4"/>
      <c r="O7" s="71" t="s">
        <v>240</v>
      </c>
      <c r="P7" s="36"/>
    </row>
    <row r="8" spans="1:16" x14ac:dyDescent="0.3">
      <c r="A8" s="241"/>
      <c r="B8" s="254"/>
      <c r="C8" s="257"/>
      <c r="D8" s="381"/>
      <c r="E8" s="257"/>
      <c r="F8" s="4"/>
      <c r="G8" s="4"/>
      <c r="H8" s="4"/>
      <c r="I8" s="4"/>
      <c r="J8" s="4"/>
      <c r="K8" s="4"/>
      <c r="L8" s="4">
        <f>SUM(H8:K8)</f>
        <v>0</v>
      </c>
      <c r="M8" s="340"/>
      <c r="N8" s="4"/>
      <c r="O8" s="78"/>
      <c r="P8" s="36"/>
    </row>
    <row r="9" spans="1:16" x14ac:dyDescent="0.3">
      <c r="A9" s="241"/>
      <c r="B9" s="254"/>
      <c r="C9" s="257"/>
      <c r="D9" s="381"/>
      <c r="E9" s="257"/>
      <c r="F9" s="4"/>
      <c r="G9" s="4"/>
      <c r="H9" s="4"/>
      <c r="I9" s="4"/>
      <c r="J9" s="4"/>
      <c r="K9" s="4"/>
      <c r="L9" s="4">
        <f>SUM(H9:K9)</f>
        <v>0</v>
      </c>
      <c r="M9" s="340"/>
      <c r="N9" s="4"/>
      <c r="O9" s="71"/>
      <c r="P9" s="36"/>
    </row>
    <row r="10" spans="1:16" ht="15" thickBot="1" x14ac:dyDescent="0.35">
      <c r="A10" s="241"/>
      <c r="B10" s="254"/>
      <c r="C10" s="257"/>
      <c r="D10" s="381"/>
      <c r="E10" s="257"/>
      <c r="F10" s="6"/>
      <c r="G10" s="6"/>
      <c r="H10" s="4"/>
      <c r="I10" s="4"/>
      <c r="J10" s="4"/>
      <c r="K10" s="4"/>
      <c r="L10" s="4">
        <f>SUM(H10:K10)</f>
        <v>0</v>
      </c>
      <c r="M10" s="340"/>
      <c r="N10" s="4"/>
      <c r="O10" s="87"/>
      <c r="P10" s="41"/>
    </row>
    <row r="11" spans="1:16" ht="15.6" thickTop="1" thickBot="1" x14ac:dyDescent="0.35">
      <c r="A11" s="242"/>
      <c r="B11" s="255"/>
      <c r="C11" s="258"/>
      <c r="D11" s="382"/>
      <c r="E11" s="258"/>
      <c r="F11" s="243"/>
      <c r="G11" s="244"/>
      <c r="H11" s="56">
        <f>SUM(H6:H10)</f>
        <v>500</v>
      </c>
      <c r="I11" s="56">
        <f t="shared" ref="I11:L11" si="0">SUM(I6:I10)</f>
        <v>6500</v>
      </c>
      <c r="J11" s="56">
        <f t="shared" si="0"/>
        <v>3000</v>
      </c>
      <c r="K11" s="56">
        <f t="shared" si="0"/>
        <v>0</v>
      </c>
      <c r="L11" s="56">
        <f t="shared" si="0"/>
        <v>10000</v>
      </c>
      <c r="M11" s="56"/>
      <c r="N11" s="56">
        <f>M6-L11</f>
        <v>7500</v>
      </c>
      <c r="O11" s="88"/>
      <c r="P11" s="14">
        <f>SUM(P6:P10)</f>
        <v>0</v>
      </c>
    </row>
    <row r="12" spans="1:16" ht="15.75" customHeight="1" thickTop="1" x14ac:dyDescent="0.3">
      <c r="A12" s="248">
        <v>2</v>
      </c>
      <c r="B12" s="253" t="s">
        <v>320</v>
      </c>
      <c r="C12" s="286" t="s">
        <v>321</v>
      </c>
      <c r="D12" s="381" t="s">
        <v>322</v>
      </c>
      <c r="E12" s="371" t="s">
        <v>323</v>
      </c>
      <c r="F12" s="3">
        <v>6745</v>
      </c>
      <c r="G12" s="7" t="s">
        <v>324</v>
      </c>
      <c r="H12" s="4">
        <v>500</v>
      </c>
      <c r="I12" s="4">
        <v>6500</v>
      </c>
      <c r="J12" s="4">
        <v>3000</v>
      </c>
      <c r="K12" s="4"/>
      <c r="L12" s="4">
        <f>SUM(H12:K12)</f>
        <v>10000</v>
      </c>
      <c r="M12" s="340">
        <v>17500</v>
      </c>
      <c r="N12" s="4"/>
      <c r="O12" s="89" t="s">
        <v>295</v>
      </c>
      <c r="P12" s="39"/>
    </row>
    <row r="13" spans="1:16" x14ac:dyDescent="0.3">
      <c r="A13" s="241"/>
      <c r="B13" s="254"/>
      <c r="C13" s="287"/>
      <c r="D13" s="381"/>
      <c r="E13" s="257"/>
      <c r="F13" s="16"/>
      <c r="G13" s="4"/>
      <c r="H13" s="4"/>
      <c r="I13" s="4"/>
      <c r="J13" s="4"/>
      <c r="K13" s="4"/>
      <c r="L13" s="4">
        <f>SUM(H13:K13)</f>
        <v>0</v>
      </c>
      <c r="M13" s="340"/>
      <c r="N13" s="4"/>
      <c r="O13" s="72" t="s">
        <v>240</v>
      </c>
      <c r="P13" s="36"/>
    </row>
    <row r="14" spans="1:16" x14ac:dyDescent="0.3">
      <c r="A14" s="241"/>
      <c r="B14" s="254"/>
      <c r="C14" s="287"/>
      <c r="D14" s="381"/>
      <c r="E14" s="257"/>
      <c r="F14" s="4"/>
      <c r="G14" s="4"/>
      <c r="H14" s="4"/>
      <c r="I14" s="4"/>
      <c r="J14" s="4"/>
      <c r="K14" s="4"/>
      <c r="L14" s="4">
        <f>SUM(H14:K14)</f>
        <v>0</v>
      </c>
      <c r="M14" s="340"/>
      <c r="N14" s="4"/>
      <c r="O14" s="86"/>
      <c r="P14" s="36"/>
    </row>
    <row r="15" spans="1:16" x14ac:dyDescent="0.3">
      <c r="A15" s="241"/>
      <c r="B15" s="254"/>
      <c r="C15" s="287"/>
      <c r="D15" s="381"/>
      <c r="E15" s="257"/>
      <c r="F15" s="4"/>
      <c r="G15" s="4"/>
      <c r="H15" s="4"/>
      <c r="I15" s="4"/>
      <c r="J15" s="4"/>
      <c r="K15" s="4"/>
      <c r="L15" s="4">
        <f>SUM(H15:K15)</f>
        <v>0</v>
      </c>
      <c r="M15" s="340"/>
      <c r="N15" s="4"/>
      <c r="O15" s="71"/>
      <c r="P15" s="36"/>
    </row>
    <row r="16" spans="1:16" ht="15" thickBot="1" x14ac:dyDescent="0.35">
      <c r="A16" s="241"/>
      <c r="B16" s="254"/>
      <c r="C16" s="287"/>
      <c r="D16" s="381"/>
      <c r="E16" s="257"/>
      <c r="F16" s="6"/>
      <c r="G16" s="6"/>
      <c r="H16" s="4"/>
      <c r="I16" s="4"/>
      <c r="J16" s="4"/>
      <c r="K16" s="4"/>
      <c r="L16" s="4">
        <f>SUM(H16:K16)</f>
        <v>0</v>
      </c>
      <c r="M16" s="340"/>
      <c r="N16" s="4"/>
      <c r="O16" s="78"/>
      <c r="P16" s="41"/>
    </row>
    <row r="17" spans="1:16" ht="15.6" thickTop="1" thickBot="1" x14ac:dyDescent="0.35">
      <c r="A17" s="242"/>
      <c r="B17" s="255"/>
      <c r="C17" s="288"/>
      <c r="D17" s="382"/>
      <c r="E17" s="258"/>
      <c r="F17" s="243"/>
      <c r="G17" s="244"/>
      <c r="H17" s="56">
        <f>SUM(H12:H16)</f>
        <v>500</v>
      </c>
      <c r="I17" s="56">
        <f t="shared" ref="I17:L17" si="1">SUM(I12:I16)</f>
        <v>6500</v>
      </c>
      <c r="J17" s="56">
        <f t="shared" si="1"/>
        <v>3000</v>
      </c>
      <c r="K17" s="56">
        <f t="shared" si="1"/>
        <v>0</v>
      </c>
      <c r="L17" s="56">
        <f t="shared" si="1"/>
        <v>10000</v>
      </c>
      <c r="M17" s="56">
        <v>17500</v>
      </c>
      <c r="N17" s="56">
        <f>M12-L17</f>
        <v>7500</v>
      </c>
      <c r="O17" s="88"/>
      <c r="P17" s="14">
        <f>SUM(P12:P16)</f>
        <v>0</v>
      </c>
    </row>
    <row r="18" spans="1:16" ht="15" thickTop="1" x14ac:dyDescent="0.3">
      <c r="A18" s="260">
        <v>3</v>
      </c>
      <c r="B18" s="261" t="s">
        <v>776</v>
      </c>
      <c r="C18" s="264" t="s">
        <v>777</v>
      </c>
      <c r="D18" s="383" t="s">
        <v>322</v>
      </c>
      <c r="E18" s="269" t="s">
        <v>778</v>
      </c>
      <c r="F18" s="39">
        <v>6979</v>
      </c>
      <c r="G18" s="47" t="s">
        <v>779</v>
      </c>
      <c r="H18" s="36">
        <v>500</v>
      </c>
      <c r="I18" s="36">
        <v>14000</v>
      </c>
      <c r="J18" s="36">
        <v>3000</v>
      </c>
      <c r="K18" s="36"/>
      <c r="L18" s="36">
        <f>SUM(H18:K18)</f>
        <v>17500</v>
      </c>
      <c r="M18" s="356">
        <v>17500</v>
      </c>
      <c r="N18" s="36"/>
      <c r="O18" s="94" t="s">
        <v>295</v>
      </c>
      <c r="P18" s="39"/>
    </row>
    <row r="19" spans="1:16" x14ac:dyDescent="0.3">
      <c r="A19" s="249"/>
      <c r="B19" s="262"/>
      <c r="C19" s="265"/>
      <c r="D19" s="383"/>
      <c r="E19" s="265"/>
      <c r="F19" s="31"/>
      <c r="G19" s="36"/>
      <c r="H19" s="36"/>
      <c r="I19" s="36"/>
      <c r="J19" s="36"/>
      <c r="K19" s="36"/>
      <c r="L19" s="36">
        <f>SUM(H19:K19)</f>
        <v>0</v>
      </c>
      <c r="M19" s="356"/>
      <c r="N19" s="36"/>
      <c r="O19" s="73"/>
      <c r="P19" s="36"/>
    </row>
    <row r="20" spans="1:16" x14ac:dyDescent="0.3">
      <c r="A20" s="249"/>
      <c r="B20" s="262"/>
      <c r="C20" s="265"/>
      <c r="D20" s="383"/>
      <c r="E20" s="265"/>
      <c r="F20" s="36"/>
      <c r="G20" s="36"/>
      <c r="H20" s="36"/>
      <c r="I20" s="36"/>
      <c r="J20" s="36"/>
      <c r="K20" s="36"/>
      <c r="L20" s="36">
        <f>SUM(H20:K20)</f>
        <v>0</v>
      </c>
      <c r="M20" s="356"/>
      <c r="N20" s="36"/>
      <c r="O20" s="81"/>
      <c r="P20" s="36"/>
    </row>
    <row r="21" spans="1:16" x14ac:dyDescent="0.3">
      <c r="A21" s="249"/>
      <c r="B21" s="262"/>
      <c r="C21" s="265"/>
      <c r="D21" s="383"/>
      <c r="E21" s="265"/>
      <c r="F21" s="36"/>
      <c r="G21" s="36"/>
      <c r="H21" s="36"/>
      <c r="I21" s="36"/>
      <c r="J21" s="36"/>
      <c r="K21" s="36"/>
      <c r="L21" s="36">
        <f>SUM(H21:K21)</f>
        <v>0</v>
      </c>
      <c r="M21" s="356"/>
      <c r="N21" s="36"/>
      <c r="O21" s="73"/>
      <c r="P21" s="36"/>
    </row>
    <row r="22" spans="1:16" ht="15" thickBot="1" x14ac:dyDescent="0.35">
      <c r="A22" s="249"/>
      <c r="B22" s="262"/>
      <c r="C22" s="265"/>
      <c r="D22" s="383"/>
      <c r="E22" s="265"/>
      <c r="F22" s="41"/>
      <c r="G22" s="41"/>
      <c r="H22" s="36"/>
      <c r="I22" s="36"/>
      <c r="J22" s="36"/>
      <c r="K22" s="36"/>
      <c r="L22" s="36">
        <f>SUM(H22:K22)</f>
        <v>0</v>
      </c>
      <c r="M22" s="356"/>
      <c r="N22" s="36"/>
      <c r="O22" s="93"/>
      <c r="P22" s="41"/>
    </row>
    <row r="23" spans="1:16" ht="15.6" thickTop="1" thickBot="1" x14ac:dyDescent="0.35">
      <c r="A23" s="250"/>
      <c r="B23" s="263"/>
      <c r="C23" s="266"/>
      <c r="D23" s="384"/>
      <c r="E23" s="266"/>
      <c r="F23" s="251"/>
      <c r="G23" s="252"/>
      <c r="H23" s="57">
        <f>SUM(H18:H22)</f>
        <v>500</v>
      </c>
      <c r="I23" s="57">
        <f t="shared" ref="I23:L23" si="2">SUM(I18:I22)</f>
        <v>14000</v>
      </c>
      <c r="J23" s="57">
        <f t="shared" si="2"/>
        <v>3000</v>
      </c>
      <c r="K23" s="57">
        <f t="shared" si="2"/>
        <v>0</v>
      </c>
      <c r="L23" s="57">
        <f t="shared" si="2"/>
        <v>17500</v>
      </c>
      <c r="M23" s="57"/>
      <c r="N23" s="57">
        <f>M18-L23</f>
        <v>0</v>
      </c>
      <c r="O23" s="111"/>
      <c r="P23" s="14">
        <f>SUM(P18:P22)</f>
        <v>0</v>
      </c>
    </row>
    <row r="24" spans="1:16" ht="15.75" customHeight="1" thickTop="1" x14ac:dyDescent="0.3">
      <c r="A24" s="282">
        <v>4</v>
      </c>
      <c r="B24" s="321" t="s">
        <v>818</v>
      </c>
      <c r="C24" s="256" t="s">
        <v>191</v>
      </c>
      <c r="D24" s="381" t="s">
        <v>322</v>
      </c>
      <c r="E24" s="259" t="s">
        <v>819</v>
      </c>
      <c r="F24" s="16">
        <v>7011</v>
      </c>
      <c r="G24" s="18" t="s">
        <v>820</v>
      </c>
      <c r="H24" s="4">
        <v>500</v>
      </c>
      <c r="I24" s="4">
        <v>1500</v>
      </c>
      <c r="J24" s="4">
        <v>3000</v>
      </c>
      <c r="K24" s="4"/>
      <c r="L24" s="4">
        <f>SUM(H24:K24)</f>
        <v>5000</v>
      </c>
      <c r="M24" s="340">
        <v>17500</v>
      </c>
      <c r="N24" s="4"/>
      <c r="O24" s="86" t="s">
        <v>295</v>
      </c>
      <c r="P24" s="15"/>
    </row>
    <row r="25" spans="1:16" x14ac:dyDescent="0.3">
      <c r="A25" s="246"/>
      <c r="B25" s="257"/>
      <c r="C25" s="257"/>
      <c r="D25" s="381"/>
      <c r="E25" s="257"/>
      <c r="F25" s="16"/>
      <c r="G25" s="27"/>
      <c r="H25" s="4"/>
      <c r="I25" s="4"/>
      <c r="J25" s="4"/>
      <c r="K25" s="4"/>
      <c r="L25" s="4">
        <f>SUM(H25:K25)</f>
        <v>0</v>
      </c>
      <c r="M25" s="340"/>
      <c r="N25" s="4"/>
      <c r="O25" s="71"/>
      <c r="P25" s="16"/>
    </row>
    <row r="26" spans="1:16" x14ac:dyDescent="0.3">
      <c r="A26" s="246"/>
      <c r="B26" s="257"/>
      <c r="C26" s="257"/>
      <c r="D26" s="381"/>
      <c r="E26" s="257"/>
      <c r="F26" s="16"/>
      <c r="G26" s="16"/>
      <c r="H26" s="4"/>
      <c r="I26" s="4"/>
      <c r="J26" s="4"/>
      <c r="K26" s="4"/>
      <c r="L26" s="4">
        <f>SUM(H26:K26)</f>
        <v>0</v>
      </c>
      <c r="M26" s="340"/>
      <c r="N26" s="4"/>
      <c r="O26" s="78"/>
      <c r="P26" s="16"/>
    </row>
    <row r="27" spans="1:16" x14ac:dyDescent="0.3">
      <c r="A27" s="246"/>
      <c r="B27" s="257"/>
      <c r="C27" s="257"/>
      <c r="D27" s="381"/>
      <c r="E27" s="257"/>
      <c r="F27" s="16"/>
      <c r="G27" s="16"/>
      <c r="H27" s="4"/>
      <c r="I27" s="4"/>
      <c r="J27" s="4"/>
      <c r="K27" s="4"/>
      <c r="L27" s="4">
        <f>SUM(H27:K27)</f>
        <v>0</v>
      </c>
      <c r="M27" s="340"/>
      <c r="N27" s="4"/>
      <c r="O27" s="72"/>
      <c r="P27" s="16"/>
    </row>
    <row r="28" spans="1:16" ht="15" thickBot="1" x14ac:dyDescent="0.35">
      <c r="A28" s="246"/>
      <c r="B28" s="257"/>
      <c r="C28" s="257"/>
      <c r="D28" s="381"/>
      <c r="E28" s="257"/>
      <c r="F28" s="17"/>
      <c r="G28" s="17"/>
      <c r="H28" s="4"/>
      <c r="I28" s="4"/>
      <c r="J28" s="4"/>
      <c r="K28" s="4"/>
      <c r="L28" s="4">
        <f>SUM(H28:K28)</f>
        <v>0</v>
      </c>
      <c r="M28" s="340"/>
      <c r="N28" s="4"/>
      <c r="O28" s="90"/>
      <c r="P28" s="17"/>
    </row>
    <row r="29" spans="1:16" ht="15.6" thickTop="1" thickBot="1" x14ac:dyDescent="0.35">
      <c r="A29" s="247"/>
      <c r="B29" s="258"/>
      <c r="C29" s="258"/>
      <c r="D29" s="382"/>
      <c r="E29" s="258"/>
      <c r="F29" s="243"/>
      <c r="G29" s="244"/>
      <c r="H29" s="56">
        <f>SUM(H24:H28)</f>
        <v>500</v>
      </c>
      <c r="I29" s="56">
        <f t="shared" ref="I29:L29" si="3">SUM(I24:I28)</f>
        <v>1500</v>
      </c>
      <c r="J29" s="56">
        <f t="shared" si="3"/>
        <v>3000</v>
      </c>
      <c r="K29" s="56">
        <f t="shared" si="3"/>
        <v>0</v>
      </c>
      <c r="L29" s="56">
        <f t="shared" si="3"/>
        <v>5000</v>
      </c>
      <c r="M29" s="56"/>
      <c r="N29" s="56">
        <f>M24-L29</f>
        <v>12500</v>
      </c>
      <c r="O29" s="100"/>
      <c r="P29" s="14">
        <f>SUM(P24:P28)</f>
        <v>0</v>
      </c>
    </row>
    <row r="30" spans="1:16" ht="15" thickTop="1" x14ac:dyDescent="0.3">
      <c r="A30" s="248">
        <v>5</v>
      </c>
      <c r="B30" s="321" t="s">
        <v>856</v>
      </c>
      <c r="C30" s="256" t="s">
        <v>857</v>
      </c>
      <c r="D30" s="381" t="s">
        <v>322</v>
      </c>
      <c r="E30" s="259" t="s">
        <v>858</v>
      </c>
      <c r="F30" s="4">
        <v>7022</v>
      </c>
      <c r="G30" s="5" t="s">
        <v>859</v>
      </c>
      <c r="H30" s="4">
        <v>500</v>
      </c>
      <c r="I30" s="4">
        <v>4000</v>
      </c>
      <c r="J30" s="4"/>
      <c r="K30" s="4"/>
      <c r="L30" s="4">
        <f>SUM(H30:K30)</f>
        <v>4500</v>
      </c>
      <c r="M30" s="340">
        <v>17500</v>
      </c>
      <c r="N30" s="4"/>
      <c r="O30" s="86" t="s">
        <v>295</v>
      </c>
      <c r="P30" s="3"/>
    </row>
    <row r="31" spans="1:16" x14ac:dyDescent="0.3">
      <c r="A31" s="241"/>
      <c r="B31" s="257"/>
      <c r="C31" s="257"/>
      <c r="D31" s="381"/>
      <c r="E31" s="257"/>
      <c r="F31" s="4">
        <v>7034</v>
      </c>
      <c r="G31" s="4" t="s">
        <v>865</v>
      </c>
      <c r="H31" s="4"/>
      <c r="I31" s="4">
        <v>4500</v>
      </c>
      <c r="J31" s="4">
        <v>3000</v>
      </c>
      <c r="K31" s="4"/>
      <c r="L31" s="4">
        <f>SUM(H31:K31)</f>
        <v>7500</v>
      </c>
      <c r="M31" s="340"/>
      <c r="N31" s="4"/>
      <c r="O31" s="71"/>
      <c r="P31" s="4"/>
    </row>
    <row r="32" spans="1:16" x14ac:dyDescent="0.3">
      <c r="A32" s="241"/>
      <c r="B32" s="257"/>
      <c r="C32" s="257"/>
      <c r="D32" s="381"/>
      <c r="E32" s="257"/>
      <c r="F32" s="4"/>
      <c r="G32" s="4"/>
      <c r="H32" s="4"/>
      <c r="I32" s="4"/>
      <c r="J32" s="4"/>
      <c r="K32" s="4"/>
      <c r="L32" s="4">
        <f>SUM(H32:K32)</f>
        <v>0</v>
      </c>
      <c r="M32" s="340"/>
      <c r="N32" s="4"/>
      <c r="O32" s="78"/>
      <c r="P32" s="4"/>
    </row>
    <row r="33" spans="1:16" x14ac:dyDescent="0.3">
      <c r="A33" s="241"/>
      <c r="B33" s="257"/>
      <c r="C33" s="257"/>
      <c r="D33" s="381"/>
      <c r="E33" s="257"/>
      <c r="F33" s="4"/>
      <c r="G33" s="4"/>
      <c r="H33" s="4"/>
      <c r="I33" s="4"/>
      <c r="J33" s="4"/>
      <c r="K33" s="4"/>
      <c r="L33" s="4">
        <f>SUM(H33:K33)</f>
        <v>0</v>
      </c>
      <c r="M33" s="340"/>
      <c r="N33" s="4"/>
      <c r="O33" s="71"/>
      <c r="P33" s="4"/>
    </row>
    <row r="34" spans="1:16" ht="15" thickBot="1" x14ac:dyDescent="0.35">
      <c r="A34" s="241"/>
      <c r="B34" s="257"/>
      <c r="C34" s="257"/>
      <c r="D34" s="381"/>
      <c r="E34" s="257"/>
      <c r="F34" s="6"/>
      <c r="G34" s="6"/>
      <c r="H34" s="4"/>
      <c r="I34" s="4"/>
      <c r="J34" s="4"/>
      <c r="K34" s="4"/>
      <c r="L34" s="4">
        <f>SUM(H34:K34)</f>
        <v>0</v>
      </c>
      <c r="M34" s="340"/>
      <c r="N34" s="4"/>
      <c r="O34" s="87"/>
      <c r="P34" s="6"/>
    </row>
    <row r="35" spans="1:16" ht="15.6" thickTop="1" thickBot="1" x14ac:dyDescent="0.35">
      <c r="A35" s="242"/>
      <c r="B35" s="258"/>
      <c r="C35" s="258"/>
      <c r="D35" s="382"/>
      <c r="E35" s="258"/>
      <c r="F35" s="243"/>
      <c r="G35" s="244"/>
      <c r="H35" s="56">
        <f>SUM(H30:H34)</f>
        <v>500</v>
      </c>
      <c r="I35" s="56">
        <f t="shared" ref="I35:L35" si="4">SUM(I30:I34)</f>
        <v>8500</v>
      </c>
      <c r="J35" s="56">
        <f t="shared" si="4"/>
        <v>3000</v>
      </c>
      <c r="K35" s="56">
        <f t="shared" si="4"/>
        <v>0</v>
      </c>
      <c r="L35" s="56">
        <f t="shared" si="4"/>
        <v>12000</v>
      </c>
      <c r="M35" s="56"/>
      <c r="N35" s="56">
        <f>M30-L35</f>
        <v>5500</v>
      </c>
      <c r="O35" s="100"/>
      <c r="P35" s="14">
        <f>SUM(P30:P34)</f>
        <v>0</v>
      </c>
    </row>
    <row r="36" spans="1:16" ht="15" thickTop="1" x14ac:dyDescent="0.3">
      <c r="A36" s="248">
        <v>6</v>
      </c>
      <c r="B36" s="321" t="s">
        <v>860</v>
      </c>
      <c r="C36" s="256" t="s">
        <v>857</v>
      </c>
      <c r="D36" s="381" t="s">
        <v>322</v>
      </c>
      <c r="E36" s="259" t="s">
        <v>835</v>
      </c>
      <c r="F36" s="4">
        <v>7024</v>
      </c>
      <c r="G36" s="5" t="s">
        <v>861</v>
      </c>
      <c r="H36" s="4">
        <v>500</v>
      </c>
      <c r="I36" s="4">
        <v>3000</v>
      </c>
      <c r="J36" s="4"/>
      <c r="K36" s="4"/>
      <c r="L36" s="4">
        <f>SUM(H36:K36)</f>
        <v>3500</v>
      </c>
      <c r="M36" s="340">
        <v>17500</v>
      </c>
      <c r="N36" s="4"/>
      <c r="O36" s="86"/>
      <c r="P36" s="3">
        <v>1500</v>
      </c>
    </row>
    <row r="37" spans="1:16" x14ac:dyDescent="0.3">
      <c r="A37" s="241"/>
      <c r="B37" s="257"/>
      <c r="C37" s="257"/>
      <c r="D37" s="381"/>
      <c r="E37" s="257"/>
      <c r="F37" s="16"/>
      <c r="G37" s="26"/>
      <c r="H37" s="4"/>
      <c r="I37" s="4"/>
      <c r="J37" s="4"/>
      <c r="K37" s="4"/>
      <c r="L37" s="4">
        <f>SUM(H37:K37)</f>
        <v>0</v>
      </c>
      <c r="M37" s="340"/>
      <c r="N37" s="4"/>
      <c r="O37" s="71"/>
      <c r="P37" s="4"/>
    </row>
    <row r="38" spans="1:16" x14ac:dyDescent="0.3">
      <c r="A38" s="241"/>
      <c r="B38" s="257"/>
      <c r="C38" s="257"/>
      <c r="D38" s="381"/>
      <c r="E38" s="257"/>
      <c r="F38" s="16"/>
      <c r="G38" s="26"/>
      <c r="H38" s="4"/>
      <c r="I38" s="4"/>
      <c r="J38" s="4"/>
      <c r="K38" s="4"/>
      <c r="L38" s="4">
        <f>SUM(H38:K38)</f>
        <v>0</v>
      </c>
      <c r="M38" s="340"/>
      <c r="N38" s="4"/>
      <c r="O38" s="78"/>
      <c r="P38" s="4"/>
    </row>
    <row r="39" spans="1:16" x14ac:dyDescent="0.3">
      <c r="A39" s="241"/>
      <c r="B39" s="257"/>
      <c r="C39" s="257"/>
      <c r="D39" s="381"/>
      <c r="E39" s="257"/>
      <c r="F39" s="4"/>
      <c r="G39" s="4"/>
      <c r="H39" s="4"/>
      <c r="I39" s="4"/>
      <c r="J39" s="4"/>
      <c r="K39" s="4"/>
      <c r="L39" s="4">
        <f>SUM(H39:K39)</f>
        <v>0</v>
      </c>
      <c r="M39" s="340"/>
      <c r="N39" s="4"/>
      <c r="O39" s="71"/>
      <c r="P39" s="4"/>
    </row>
    <row r="40" spans="1:16" ht="15" thickBot="1" x14ac:dyDescent="0.35">
      <c r="A40" s="241"/>
      <c r="B40" s="257"/>
      <c r="C40" s="257"/>
      <c r="D40" s="381"/>
      <c r="E40" s="257"/>
      <c r="F40" s="6"/>
      <c r="G40" s="6"/>
      <c r="H40" s="4"/>
      <c r="I40" s="4"/>
      <c r="J40" s="4"/>
      <c r="K40" s="4"/>
      <c r="L40" s="4">
        <f>SUM(H40:K40)</f>
        <v>0</v>
      </c>
      <c r="M40" s="340"/>
      <c r="N40" s="4"/>
      <c r="O40" s="87"/>
      <c r="P40" s="6"/>
    </row>
    <row r="41" spans="1:16" ht="15.6" thickTop="1" thickBot="1" x14ac:dyDescent="0.35">
      <c r="A41" s="242"/>
      <c r="B41" s="258"/>
      <c r="C41" s="258"/>
      <c r="D41" s="382"/>
      <c r="E41" s="258"/>
      <c r="F41" s="243"/>
      <c r="G41" s="244"/>
      <c r="H41" s="56">
        <f>SUM(H36:H40)</f>
        <v>500</v>
      </c>
      <c r="I41" s="56">
        <f t="shared" ref="I41:L41" si="5">SUM(I36:I40)</f>
        <v>3000</v>
      </c>
      <c r="J41" s="56">
        <f t="shared" si="5"/>
        <v>0</v>
      </c>
      <c r="K41" s="56">
        <f t="shared" si="5"/>
        <v>0</v>
      </c>
      <c r="L41" s="56">
        <f t="shared" si="5"/>
        <v>3500</v>
      </c>
      <c r="M41" s="56"/>
      <c r="N41" s="56">
        <f>M36-L41</f>
        <v>14000</v>
      </c>
      <c r="O41" s="100"/>
      <c r="P41" s="14">
        <f>SUM(P36:P40)</f>
        <v>1500</v>
      </c>
    </row>
    <row r="42" spans="1:16" ht="15" thickTop="1" x14ac:dyDescent="0.3">
      <c r="A42" s="260">
        <v>7</v>
      </c>
      <c r="B42" s="389" t="s">
        <v>891</v>
      </c>
      <c r="C42" s="280" t="s">
        <v>892</v>
      </c>
      <c r="D42" s="383" t="s">
        <v>893</v>
      </c>
      <c r="E42" s="281"/>
      <c r="F42" s="39">
        <v>7045</v>
      </c>
      <c r="G42" s="40" t="s">
        <v>869</v>
      </c>
      <c r="H42" s="36">
        <v>500</v>
      </c>
      <c r="I42" s="36">
        <v>14000</v>
      </c>
      <c r="J42" s="36">
        <v>3000</v>
      </c>
      <c r="K42" s="36"/>
      <c r="L42" s="36">
        <f>SUM(H42:K42)</f>
        <v>17500</v>
      </c>
      <c r="M42" s="356">
        <v>17500</v>
      </c>
      <c r="N42" s="36"/>
      <c r="O42" s="94"/>
      <c r="P42" s="39">
        <v>1500</v>
      </c>
    </row>
    <row r="43" spans="1:16" x14ac:dyDescent="0.3">
      <c r="A43" s="249"/>
      <c r="B43" s="267"/>
      <c r="C43" s="267"/>
      <c r="D43" s="383"/>
      <c r="E43" s="267"/>
      <c r="F43" s="31"/>
      <c r="G43" s="36"/>
      <c r="H43" s="36"/>
      <c r="I43" s="36"/>
      <c r="J43" s="36"/>
      <c r="K43" s="36"/>
      <c r="L43" s="36">
        <f>SUM(H43:K43)</f>
        <v>0</v>
      </c>
      <c r="M43" s="356"/>
      <c r="N43" s="36"/>
      <c r="O43" s="73"/>
      <c r="P43" s="36"/>
    </row>
    <row r="44" spans="1:16" x14ac:dyDescent="0.3">
      <c r="A44" s="249"/>
      <c r="B44" s="267"/>
      <c r="C44" s="267"/>
      <c r="D44" s="383"/>
      <c r="E44" s="267"/>
      <c r="F44" s="31"/>
      <c r="G44" s="48"/>
      <c r="H44" s="36"/>
      <c r="I44" s="36"/>
      <c r="J44" s="36"/>
      <c r="K44" s="36"/>
      <c r="L44" s="36">
        <f>SUM(H44:K44)</f>
        <v>0</v>
      </c>
      <c r="M44" s="356"/>
      <c r="N44" s="36"/>
      <c r="O44" s="81"/>
      <c r="P44" s="36"/>
    </row>
    <row r="45" spans="1:16" x14ac:dyDescent="0.3">
      <c r="A45" s="249"/>
      <c r="B45" s="267"/>
      <c r="C45" s="267"/>
      <c r="D45" s="383"/>
      <c r="E45" s="267"/>
      <c r="F45" s="36"/>
      <c r="G45" s="36"/>
      <c r="H45" s="36"/>
      <c r="I45" s="36"/>
      <c r="J45" s="36"/>
      <c r="K45" s="36"/>
      <c r="L45" s="36">
        <f>SUM(H45:K45)</f>
        <v>0</v>
      </c>
      <c r="M45" s="356"/>
      <c r="N45" s="36"/>
      <c r="O45" s="73"/>
      <c r="P45" s="36"/>
    </row>
    <row r="46" spans="1:16" ht="15" thickBot="1" x14ac:dyDescent="0.35">
      <c r="A46" s="249"/>
      <c r="B46" s="267"/>
      <c r="C46" s="267"/>
      <c r="D46" s="383"/>
      <c r="E46" s="267"/>
      <c r="F46" s="41"/>
      <c r="G46" s="41"/>
      <c r="H46" s="36"/>
      <c r="I46" s="36"/>
      <c r="J46" s="36"/>
      <c r="K46" s="36"/>
      <c r="L46" s="36">
        <f>SUM(H46:K46)</f>
        <v>0</v>
      </c>
      <c r="M46" s="356"/>
      <c r="N46" s="36"/>
      <c r="O46" s="93"/>
      <c r="P46" s="41"/>
    </row>
    <row r="47" spans="1:16" ht="15.6" thickTop="1" thickBot="1" x14ac:dyDescent="0.35">
      <c r="A47" s="250"/>
      <c r="B47" s="268"/>
      <c r="C47" s="268"/>
      <c r="D47" s="384"/>
      <c r="E47" s="268"/>
      <c r="F47" s="251"/>
      <c r="G47" s="252"/>
      <c r="H47" s="57">
        <f>SUM(H42:H46)</f>
        <v>500</v>
      </c>
      <c r="I47" s="57">
        <f t="shared" ref="I47:L47" si="6">SUM(I42:I46)</f>
        <v>14000</v>
      </c>
      <c r="J47" s="57">
        <f t="shared" si="6"/>
        <v>3000</v>
      </c>
      <c r="K47" s="57">
        <f t="shared" si="6"/>
        <v>0</v>
      </c>
      <c r="L47" s="57">
        <f t="shared" si="6"/>
        <v>17500</v>
      </c>
      <c r="M47" s="57"/>
      <c r="N47" s="57">
        <f>M42-L47</f>
        <v>0</v>
      </c>
      <c r="O47" s="111"/>
      <c r="P47" s="14">
        <f>SUM(P42:P46)</f>
        <v>1500</v>
      </c>
    </row>
    <row r="48" spans="1:16" ht="15" thickTop="1" x14ac:dyDescent="0.3">
      <c r="A48" s="248">
        <v>8</v>
      </c>
      <c r="B48" s="253" t="s">
        <v>894</v>
      </c>
      <c r="C48" s="256" t="s">
        <v>892</v>
      </c>
      <c r="D48" s="381" t="s">
        <v>893</v>
      </c>
      <c r="E48" s="371"/>
      <c r="F48" s="3">
        <v>7046</v>
      </c>
      <c r="G48" s="7" t="s">
        <v>869</v>
      </c>
      <c r="H48" s="4">
        <v>500</v>
      </c>
      <c r="I48" s="4">
        <v>5000</v>
      </c>
      <c r="J48" s="4">
        <v>3000</v>
      </c>
      <c r="K48" s="4"/>
      <c r="L48" s="4">
        <f>SUM(H48:K48)</f>
        <v>8500</v>
      </c>
      <c r="M48" s="340">
        <v>17500</v>
      </c>
      <c r="N48" s="4"/>
      <c r="O48" s="86"/>
      <c r="P48" s="3">
        <v>1500</v>
      </c>
    </row>
    <row r="49" spans="1:16" x14ac:dyDescent="0.3">
      <c r="A49" s="241"/>
      <c r="B49" s="254"/>
      <c r="C49" s="257"/>
      <c r="D49" s="381"/>
      <c r="E49" s="257"/>
      <c r="F49" s="16"/>
      <c r="G49" s="5"/>
      <c r="H49" s="4"/>
      <c r="I49" s="4"/>
      <c r="J49" s="4"/>
      <c r="K49" s="4"/>
      <c r="L49" s="4">
        <f>SUM(H49:K49)</f>
        <v>0</v>
      </c>
      <c r="M49" s="340"/>
      <c r="N49" s="4"/>
      <c r="O49" s="71"/>
      <c r="P49" s="4"/>
    </row>
    <row r="50" spans="1:16" x14ac:dyDescent="0.3">
      <c r="A50" s="241"/>
      <c r="B50" s="254"/>
      <c r="C50" s="257"/>
      <c r="D50" s="381"/>
      <c r="E50" s="257"/>
      <c r="F50" s="16"/>
      <c r="G50" s="26"/>
      <c r="H50" s="4"/>
      <c r="I50" s="4"/>
      <c r="J50" s="4"/>
      <c r="K50" s="4"/>
      <c r="L50" s="4">
        <f>SUM(H50:K50)</f>
        <v>0</v>
      </c>
      <c r="M50" s="340"/>
      <c r="N50" s="4"/>
      <c r="O50" s="78"/>
      <c r="P50" s="4"/>
    </row>
    <row r="51" spans="1:16" x14ac:dyDescent="0.3">
      <c r="A51" s="241"/>
      <c r="B51" s="254"/>
      <c r="C51" s="257"/>
      <c r="D51" s="381"/>
      <c r="E51" s="257"/>
      <c r="F51" s="4"/>
      <c r="G51" s="4"/>
      <c r="H51" s="4"/>
      <c r="I51" s="4"/>
      <c r="J51" s="4"/>
      <c r="K51" s="4"/>
      <c r="L51" s="4">
        <f>SUM(H51:K51)</f>
        <v>0</v>
      </c>
      <c r="M51" s="340"/>
      <c r="N51" s="4"/>
      <c r="O51" s="72"/>
      <c r="P51" s="4"/>
    </row>
    <row r="52" spans="1:16" ht="15" thickBot="1" x14ac:dyDescent="0.35">
      <c r="A52" s="241"/>
      <c r="B52" s="254"/>
      <c r="C52" s="257"/>
      <c r="D52" s="381"/>
      <c r="E52" s="257"/>
      <c r="F52" s="6"/>
      <c r="G52" s="6"/>
      <c r="H52" s="4"/>
      <c r="I52" s="4"/>
      <c r="J52" s="4"/>
      <c r="K52" s="4"/>
      <c r="L52" s="4">
        <f>SUM(H52:K52)</f>
        <v>0</v>
      </c>
      <c r="M52" s="340"/>
      <c r="N52" s="4"/>
      <c r="O52" s="87"/>
      <c r="P52" s="6"/>
    </row>
    <row r="53" spans="1:16" ht="15.6" thickTop="1" thickBot="1" x14ac:dyDescent="0.35">
      <c r="A53" s="242"/>
      <c r="B53" s="255"/>
      <c r="C53" s="258"/>
      <c r="D53" s="382"/>
      <c r="E53" s="258"/>
      <c r="F53" s="243"/>
      <c r="G53" s="244"/>
      <c r="H53" s="56">
        <f>SUM(H48:H52)</f>
        <v>500</v>
      </c>
      <c r="I53" s="56">
        <f t="shared" ref="I53:L53" si="7">SUM(I48:I52)</f>
        <v>5000</v>
      </c>
      <c r="J53" s="56">
        <f t="shared" si="7"/>
        <v>3000</v>
      </c>
      <c r="K53" s="56">
        <f t="shared" si="7"/>
        <v>0</v>
      </c>
      <c r="L53" s="56">
        <f t="shared" si="7"/>
        <v>8500</v>
      </c>
      <c r="M53" s="56"/>
      <c r="N53" s="56">
        <f>M48-L53</f>
        <v>9000</v>
      </c>
      <c r="O53" s="100"/>
      <c r="P53" s="8">
        <f>SUM(P48:P52)</f>
        <v>1500</v>
      </c>
    </row>
    <row r="54" spans="1:16" ht="15" thickTop="1" x14ac:dyDescent="0.3">
      <c r="A54" s="248">
        <v>9</v>
      </c>
      <c r="B54" s="321" t="s">
        <v>895</v>
      </c>
      <c r="C54" s="256" t="s">
        <v>892</v>
      </c>
      <c r="D54" s="381" t="s">
        <v>893</v>
      </c>
      <c r="E54" s="259"/>
      <c r="F54" s="3">
        <v>7051</v>
      </c>
      <c r="G54" s="7" t="s">
        <v>896</v>
      </c>
      <c r="H54" s="4">
        <v>500</v>
      </c>
      <c r="I54" s="4">
        <v>2000</v>
      </c>
      <c r="J54" s="4">
        <v>3000</v>
      </c>
      <c r="K54" s="4"/>
      <c r="L54" s="4">
        <f>SUM(H54:K54)</f>
        <v>5500</v>
      </c>
      <c r="M54" s="340">
        <v>17500</v>
      </c>
      <c r="N54" s="4"/>
      <c r="O54" s="86"/>
      <c r="P54" s="3">
        <v>1500</v>
      </c>
    </row>
    <row r="55" spans="1:16" x14ac:dyDescent="0.3">
      <c r="A55" s="241"/>
      <c r="B55" s="267"/>
      <c r="C55" s="257"/>
      <c r="D55" s="381"/>
      <c r="E55" s="257"/>
      <c r="F55" s="16"/>
      <c r="G55" s="4"/>
      <c r="H55" s="4"/>
      <c r="I55" s="4"/>
      <c r="J55" s="4"/>
      <c r="K55" s="4"/>
      <c r="L55" s="4">
        <f>SUM(H55:K55)</f>
        <v>0</v>
      </c>
      <c r="M55" s="340"/>
      <c r="N55" s="4"/>
      <c r="O55" s="71"/>
      <c r="P55" s="4"/>
    </row>
    <row r="56" spans="1:16" x14ac:dyDescent="0.3">
      <c r="A56" s="241"/>
      <c r="B56" s="267"/>
      <c r="C56" s="257"/>
      <c r="D56" s="381"/>
      <c r="E56" s="257"/>
      <c r="F56" s="16"/>
      <c r="G56" s="5"/>
      <c r="H56" s="4"/>
      <c r="I56" s="4"/>
      <c r="J56" s="4"/>
      <c r="K56" s="4"/>
      <c r="L56" s="4">
        <f>SUM(H56:K56)</f>
        <v>0</v>
      </c>
      <c r="M56" s="340"/>
      <c r="N56" s="4"/>
      <c r="O56" s="78"/>
      <c r="P56" s="4"/>
    </row>
    <row r="57" spans="1:16" x14ac:dyDescent="0.3">
      <c r="A57" s="241"/>
      <c r="B57" s="267"/>
      <c r="C57" s="257"/>
      <c r="D57" s="381"/>
      <c r="E57" s="257"/>
      <c r="F57" s="4"/>
      <c r="G57" s="4"/>
      <c r="H57" s="4"/>
      <c r="I57" s="4"/>
      <c r="J57" s="4"/>
      <c r="K57" s="4"/>
      <c r="L57" s="4">
        <f>SUM(H57:K57)</f>
        <v>0</v>
      </c>
      <c r="M57" s="340"/>
      <c r="N57" s="4"/>
      <c r="O57" s="71"/>
      <c r="P57" s="4"/>
    </row>
    <row r="58" spans="1:16" ht="15" thickBot="1" x14ac:dyDescent="0.35">
      <c r="A58" s="241"/>
      <c r="B58" s="267"/>
      <c r="C58" s="257"/>
      <c r="D58" s="381"/>
      <c r="E58" s="257"/>
      <c r="F58" s="6"/>
      <c r="G58" s="6"/>
      <c r="H58" s="4"/>
      <c r="I58" s="4"/>
      <c r="J58" s="4"/>
      <c r="K58" s="4"/>
      <c r="L58" s="4">
        <f>SUM(H58:K58)</f>
        <v>0</v>
      </c>
      <c r="M58" s="340"/>
      <c r="N58" s="4"/>
      <c r="O58" s="87"/>
      <c r="P58" s="6"/>
    </row>
    <row r="59" spans="1:16" ht="15.6" thickTop="1" thickBot="1" x14ac:dyDescent="0.35">
      <c r="A59" s="242"/>
      <c r="B59" s="268"/>
      <c r="C59" s="258"/>
      <c r="D59" s="382"/>
      <c r="E59" s="258"/>
      <c r="F59" s="243"/>
      <c r="G59" s="244"/>
      <c r="H59" s="56">
        <f>SUM(H54:H58)</f>
        <v>500</v>
      </c>
      <c r="I59" s="56">
        <f t="shared" ref="I59:L59" si="8">SUM(I54:I58)</f>
        <v>2000</v>
      </c>
      <c r="J59" s="56">
        <f t="shared" si="8"/>
        <v>3000</v>
      </c>
      <c r="K59" s="56">
        <f t="shared" si="8"/>
        <v>0</v>
      </c>
      <c r="L59" s="56">
        <f t="shared" si="8"/>
        <v>5500</v>
      </c>
      <c r="M59" s="56"/>
      <c r="N59" s="56">
        <f>M54-L59</f>
        <v>12000</v>
      </c>
      <c r="O59" s="100"/>
      <c r="P59" s="8">
        <f>SUM(P54:P58)</f>
        <v>1500</v>
      </c>
    </row>
    <row r="60" spans="1:16" ht="15.75" customHeight="1" thickTop="1" x14ac:dyDescent="0.3">
      <c r="A60" s="248">
        <v>10</v>
      </c>
      <c r="B60" s="360" t="s">
        <v>899</v>
      </c>
      <c r="C60" s="351" t="s">
        <v>772</v>
      </c>
      <c r="D60" s="381" t="s">
        <v>893</v>
      </c>
      <c r="E60" s="259" t="s">
        <v>900</v>
      </c>
      <c r="F60" s="3">
        <v>7060</v>
      </c>
      <c r="G60" s="7" t="s">
        <v>898</v>
      </c>
      <c r="H60" s="4">
        <v>500</v>
      </c>
      <c r="I60" s="4">
        <v>5000</v>
      </c>
      <c r="J60" s="4">
        <v>3000</v>
      </c>
      <c r="K60" s="4"/>
      <c r="L60" s="4">
        <f>SUM(H60:K60)</f>
        <v>8500</v>
      </c>
      <c r="M60" s="340">
        <v>17500</v>
      </c>
      <c r="N60" s="4"/>
      <c r="O60" s="86"/>
      <c r="P60" s="3">
        <v>1500</v>
      </c>
    </row>
    <row r="61" spans="1:16" x14ac:dyDescent="0.3">
      <c r="A61" s="241"/>
      <c r="B61" s="360"/>
      <c r="C61" s="351"/>
      <c r="D61" s="381"/>
      <c r="E61" s="257"/>
      <c r="F61" s="16"/>
      <c r="G61" s="4"/>
      <c r="H61" s="4"/>
      <c r="I61" s="4"/>
      <c r="J61" s="4"/>
      <c r="K61" s="4"/>
      <c r="L61" s="4">
        <f>SUM(H61:K61)</f>
        <v>0</v>
      </c>
      <c r="M61" s="340"/>
      <c r="N61" s="4"/>
      <c r="O61" s="71"/>
      <c r="P61" s="4"/>
    </row>
    <row r="62" spans="1:16" x14ac:dyDescent="0.3">
      <c r="A62" s="241"/>
      <c r="B62" s="360"/>
      <c r="C62" s="351"/>
      <c r="D62" s="381"/>
      <c r="E62" s="257"/>
      <c r="F62" s="16"/>
      <c r="G62" s="5"/>
      <c r="H62" s="4"/>
      <c r="I62" s="4"/>
      <c r="J62" s="4"/>
      <c r="K62" s="4"/>
      <c r="L62" s="4">
        <f>SUM(H62:K62)</f>
        <v>0</v>
      </c>
      <c r="M62" s="340"/>
      <c r="N62" s="4"/>
      <c r="O62" s="78"/>
      <c r="P62" s="4"/>
    </row>
    <row r="63" spans="1:16" x14ac:dyDescent="0.3">
      <c r="A63" s="241"/>
      <c r="B63" s="360"/>
      <c r="C63" s="351"/>
      <c r="D63" s="381"/>
      <c r="E63" s="257"/>
      <c r="F63" s="4"/>
      <c r="G63" s="4"/>
      <c r="H63" s="4"/>
      <c r="I63" s="4"/>
      <c r="J63" s="4"/>
      <c r="K63" s="4"/>
      <c r="L63" s="4">
        <f>SUM(H63:K63)</f>
        <v>0</v>
      </c>
      <c r="M63" s="340"/>
      <c r="N63" s="4"/>
      <c r="O63" s="71"/>
      <c r="P63" s="4"/>
    </row>
    <row r="64" spans="1:16" ht="15" thickBot="1" x14ac:dyDescent="0.35">
      <c r="A64" s="241"/>
      <c r="B64" s="360"/>
      <c r="C64" s="351"/>
      <c r="D64" s="381"/>
      <c r="E64" s="257"/>
      <c r="F64" s="6"/>
      <c r="G64" s="6"/>
      <c r="H64" s="4"/>
      <c r="I64" s="4"/>
      <c r="J64" s="4"/>
      <c r="K64" s="4"/>
      <c r="L64" s="4">
        <f>SUM(H64:K64)</f>
        <v>0</v>
      </c>
      <c r="M64" s="340"/>
      <c r="N64" s="4"/>
      <c r="O64" s="87"/>
      <c r="P64" s="6"/>
    </row>
    <row r="65" spans="1:16" ht="15.6" thickTop="1" thickBot="1" x14ac:dyDescent="0.35">
      <c r="A65" s="242"/>
      <c r="B65" s="360"/>
      <c r="C65" s="351"/>
      <c r="D65" s="382"/>
      <c r="E65" s="258"/>
      <c r="F65" s="243"/>
      <c r="G65" s="244"/>
      <c r="H65" s="56">
        <f>SUM(H60:H64)</f>
        <v>500</v>
      </c>
      <c r="I65" s="56">
        <f t="shared" ref="I65:L65" si="9">SUM(I60:I64)</f>
        <v>5000</v>
      </c>
      <c r="J65" s="56">
        <f t="shared" si="9"/>
        <v>3000</v>
      </c>
      <c r="K65" s="56">
        <f t="shared" si="9"/>
        <v>0</v>
      </c>
      <c r="L65" s="56">
        <f t="shared" si="9"/>
        <v>8500</v>
      </c>
      <c r="M65" s="56"/>
      <c r="N65" s="56">
        <f>M60-L65</f>
        <v>9000</v>
      </c>
      <c r="O65" s="100"/>
      <c r="P65" s="8">
        <f>SUM(P60:P64)</f>
        <v>1500</v>
      </c>
    </row>
    <row r="66" spans="1:16" ht="15.75" customHeight="1" thickTop="1" x14ac:dyDescent="0.3">
      <c r="A66" s="248">
        <v>11</v>
      </c>
      <c r="B66" s="385" t="s">
        <v>924</v>
      </c>
      <c r="C66" s="321" t="s">
        <v>612</v>
      </c>
      <c r="D66" s="381" t="s">
        <v>893</v>
      </c>
      <c r="E66" s="259" t="s">
        <v>923</v>
      </c>
      <c r="F66" s="3">
        <v>7083</v>
      </c>
      <c r="G66" s="7" t="s">
        <v>918</v>
      </c>
      <c r="H66" s="4">
        <v>500</v>
      </c>
      <c r="I66" s="4">
        <v>3000</v>
      </c>
      <c r="J66" s="4"/>
      <c r="K66" s="4"/>
      <c r="L66" s="4">
        <f>SUM(H66:K66)</f>
        <v>3500</v>
      </c>
      <c r="M66" s="340">
        <v>17500</v>
      </c>
      <c r="N66" s="4"/>
      <c r="O66" s="86"/>
      <c r="P66" s="3">
        <v>1500</v>
      </c>
    </row>
    <row r="67" spans="1:16" x14ac:dyDescent="0.3">
      <c r="A67" s="241"/>
      <c r="B67" s="385"/>
      <c r="C67" s="257"/>
      <c r="D67" s="381"/>
      <c r="E67" s="257"/>
      <c r="F67" s="16"/>
      <c r="G67" s="4"/>
      <c r="H67" s="4"/>
      <c r="I67" s="4"/>
      <c r="J67" s="4"/>
      <c r="K67" s="4"/>
      <c r="L67" s="4">
        <f>SUM(H67:K67)</f>
        <v>0</v>
      </c>
      <c r="M67" s="340"/>
      <c r="N67" s="4"/>
      <c r="O67" s="71"/>
      <c r="P67" s="4"/>
    </row>
    <row r="68" spans="1:16" x14ac:dyDescent="0.3">
      <c r="A68" s="241"/>
      <c r="B68" s="385"/>
      <c r="C68" s="257"/>
      <c r="D68" s="381"/>
      <c r="E68" s="257"/>
      <c r="F68" s="16"/>
      <c r="G68" s="5"/>
      <c r="H68" s="4"/>
      <c r="I68" s="4"/>
      <c r="J68" s="4"/>
      <c r="K68" s="4"/>
      <c r="L68" s="4">
        <f>SUM(H68:K68)</f>
        <v>0</v>
      </c>
      <c r="M68" s="340"/>
      <c r="N68" s="4"/>
      <c r="O68" s="78"/>
      <c r="P68" s="4"/>
    </row>
    <row r="69" spans="1:16" x14ac:dyDescent="0.3">
      <c r="A69" s="241"/>
      <c r="B69" s="385"/>
      <c r="C69" s="257"/>
      <c r="D69" s="381"/>
      <c r="E69" s="257"/>
      <c r="F69" s="4"/>
      <c r="G69" s="4"/>
      <c r="H69" s="4"/>
      <c r="I69" s="4"/>
      <c r="J69" s="4"/>
      <c r="K69" s="4"/>
      <c r="L69" s="4">
        <f>SUM(H69:K69)</f>
        <v>0</v>
      </c>
      <c r="M69" s="340"/>
      <c r="N69" s="4"/>
      <c r="O69" s="71"/>
      <c r="P69" s="4"/>
    </row>
    <row r="70" spans="1:16" ht="15" thickBot="1" x14ac:dyDescent="0.35">
      <c r="A70" s="241"/>
      <c r="B70" s="385"/>
      <c r="C70" s="257"/>
      <c r="D70" s="381"/>
      <c r="E70" s="257"/>
      <c r="F70" s="6"/>
      <c r="G70" s="6"/>
      <c r="H70" s="4"/>
      <c r="I70" s="4"/>
      <c r="J70" s="4"/>
      <c r="K70" s="4"/>
      <c r="L70" s="4">
        <f>SUM(H70:K70)</f>
        <v>0</v>
      </c>
      <c r="M70" s="340"/>
      <c r="N70" s="4"/>
      <c r="O70" s="87"/>
      <c r="P70" s="6"/>
    </row>
    <row r="71" spans="1:16" ht="15.6" thickTop="1" thickBot="1" x14ac:dyDescent="0.35">
      <c r="A71" s="242"/>
      <c r="B71" s="385"/>
      <c r="C71" s="258"/>
      <c r="D71" s="382"/>
      <c r="E71" s="258"/>
      <c r="F71" s="243"/>
      <c r="G71" s="244"/>
      <c r="H71" s="56">
        <f>SUM(H66:H70)</f>
        <v>500</v>
      </c>
      <c r="I71" s="56">
        <f t="shared" ref="I71:L71" si="10">SUM(I66:I70)</f>
        <v>3000</v>
      </c>
      <c r="J71" s="56">
        <f t="shared" si="10"/>
        <v>0</v>
      </c>
      <c r="K71" s="56">
        <f t="shared" si="10"/>
        <v>0</v>
      </c>
      <c r="L71" s="56">
        <f t="shared" si="10"/>
        <v>3500</v>
      </c>
      <c r="M71" s="56"/>
      <c r="N71" s="56">
        <f>M66-L71</f>
        <v>14000</v>
      </c>
      <c r="O71" s="100"/>
      <c r="P71" s="8">
        <f>SUM(P66:P70)</f>
        <v>1500</v>
      </c>
    </row>
    <row r="72" spans="1:16" ht="15" thickTop="1" x14ac:dyDescent="0.3">
      <c r="A72" s="248">
        <v>12</v>
      </c>
      <c r="B72" s="321"/>
      <c r="C72" s="256"/>
      <c r="D72" s="381"/>
      <c r="E72" s="259"/>
      <c r="F72" s="3"/>
      <c r="G72" s="7"/>
      <c r="H72" s="4"/>
      <c r="I72" s="4"/>
      <c r="J72" s="4"/>
      <c r="K72" s="4"/>
      <c r="L72" s="4">
        <f>SUM(H72:K72)</f>
        <v>0</v>
      </c>
      <c r="M72" s="340"/>
      <c r="N72" s="4"/>
      <c r="O72" s="86"/>
      <c r="P72" s="3"/>
    </row>
    <row r="73" spans="1:16" x14ac:dyDescent="0.3">
      <c r="A73" s="241"/>
      <c r="B73" s="267"/>
      <c r="C73" s="257"/>
      <c r="D73" s="381"/>
      <c r="E73" s="257"/>
      <c r="F73" s="16"/>
      <c r="G73" s="4"/>
      <c r="H73" s="4"/>
      <c r="I73" s="4"/>
      <c r="J73" s="4"/>
      <c r="K73" s="4"/>
      <c r="L73" s="4">
        <f>SUM(H73:K73)</f>
        <v>0</v>
      </c>
      <c r="M73" s="340"/>
      <c r="N73" s="4"/>
      <c r="O73" s="71"/>
      <c r="P73" s="4"/>
    </row>
    <row r="74" spans="1:16" x14ac:dyDescent="0.3">
      <c r="A74" s="241"/>
      <c r="B74" s="267"/>
      <c r="C74" s="257"/>
      <c r="D74" s="381"/>
      <c r="E74" s="257"/>
      <c r="F74" s="16"/>
      <c r="G74" s="5"/>
      <c r="H74" s="4"/>
      <c r="I74" s="4"/>
      <c r="J74" s="4"/>
      <c r="K74" s="4"/>
      <c r="L74" s="4">
        <f>SUM(H74:K74)</f>
        <v>0</v>
      </c>
      <c r="M74" s="340"/>
      <c r="N74" s="4"/>
      <c r="O74" s="78"/>
      <c r="P74" s="4"/>
    </row>
    <row r="75" spans="1:16" x14ac:dyDescent="0.3">
      <c r="A75" s="241"/>
      <c r="B75" s="267"/>
      <c r="C75" s="257"/>
      <c r="D75" s="381"/>
      <c r="E75" s="257"/>
      <c r="F75" s="4"/>
      <c r="G75" s="4"/>
      <c r="H75" s="4"/>
      <c r="I75" s="4"/>
      <c r="J75" s="4"/>
      <c r="K75" s="4"/>
      <c r="L75" s="4">
        <f>SUM(H75:K75)</f>
        <v>0</v>
      </c>
      <c r="M75" s="340"/>
      <c r="N75" s="4"/>
      <c r="O75" s="71"/>
      <c r="P75" s="4"/>
    </row>
    <row r="76" spans="1:16" ht="15" thickBot="1" x14ac:dyDescent="0.35">
      <c r="A76" s="241"/>
      <c r="B76" s="267"/>
      <c r="C76" s="257"/>
      <c r="D76" s="381"/>
      <c r="E76" s="257"/>
      <c r="F76" s="6"/>
      <c r="G76" s="6"/>
      <c r="H76" s="4"/>
      <c r="I76" s="4"/>
      <c r="J76" s="4"/>
      <c r="K76" s="4"/>
      <c r="L76" s="4">
        <f>SUM(H76:K76)</f>
        <v>0</v>
      </c>
      <c r="M76" s="340"/>
      <c r="N76" s="4"/>
      <c r="O76" s="87"/>
      <c r="P76" s="6"/>
    </row>
    <row r="77" spans="1:16" ht="15.6" thickTop="1" thickBot="1" x14ac:dyDescent="0.35">
      <c r="A77" s="242"/>
      <c r="B77" s="268"/>
      <c r="C77" s="258"/>
      <c r="D77" s="382"/>
      <c r="E77" s="258"/>
      <c r="F77" s="243"/>
      <c r="G77" s="244"/>
      <c r="H77" s="56">
        <f>SUM(H72:H76)</f>
        <v>0</v>
      </c>
      <c r="I77" s="56">
        <f t="shared" ref="I77:L77" si="11">SUM(I72:I76)</f>
        <v>0</v>
      </c>
      <c r="J77" s="56">
        <f t="shared" si="11"/>
        <v>0</v>
      </c>
      <c r="K77" s="56">
        <f t="shared" si="11"/>
        <v>0</v>
      </c>
      <c r="L77" s="56">
        <f t="shared" si="11"/>
        <v>0</v>
      </c>
      <c r="M77" s="56"/>
      <c r="N77" s="56">
        <f>M72-L77</f>
        <v>0</v>
      </c>
      <c r="O77" s="100"/>
      <c r="P77" s="14">
        <f>SUM(P72:P76)</f>
        <v>0</v>
      </c>
    </row>
    <row r="78" spans="1:16" ht="15" thickTop="1" x14ac:dyDescent="0.3">
      <c r="A78" s="64"/>
      <c r="B78" s="226"/>
      <c r="C78" s="69"/>
      <c r="D78" s="224"/>
      <c r="E78" s="69"/>
      <c r="F78" s="66"/>
      <c r="G78" s="67"/>
      <c r="H78" s="56"/>
      <c r="I78" s="56"/>
      <c r="J78" s="56"/>
      <c r="K78" s="56"/>
      <c r="L78" s="56"/>
      <c r="M78" s="56"/>
      <c r="N78" s="56"/>
      <c r="O78" s="122"/>
      <c r="P78" s="225"/>
    </row>
    <row r="79" spans="1:16" ht="15.6" x14ac:dyDescent="0.3">
      <c r="A79" s="372" t="s">
        <v>15</v>
      </c>
      <c r="B79" s="373"/>
      <c r="C79" s="373"/>
      <c r="D79" s="373"/>
      <c r="E79" s="373"/>
      <c r="F79" s="373"/>
      <c r="G79" s="374"/>
      <c r="H79" s="2">
        <f t="shared" ref="H79:L79" si="12">+H53+H47+H41+H35+H29+H23+H17+H11+H59+H65+H71+H77</f>
        <v>5500</v>
      </c>
      <c r="I79" s="2">
        <f t="shared" si="12"/>
        <v>69000</v>
      </c>
      <c r="J79" s="2">
        <f t="shared" si="12"/>
        <v>27000</v>
      </c>
      <c r="K79" s="2">
        <f t="shared" si="12"/>
        <v>0</v>
      </c>
      <c r="L79" s="2">
        <f t="shared" si="12"/>
        <v>101500</v>
      </c>
      <c r="M79" s="2">
        <f>M48+M42+M36+M30+M24+M18+M12+M6+M54+M60+M66+M72</f>
        <v>192500</v>
      </c>
      <c r="N79" s="2">
        <f>+N53+N47+N41+N35+N29+N23+N17+N11+N59+N65+N71+N77</f>
        <v>91000</v>
      </c>
      <c r="O79" s="83"/>
      <c r="P79" s="2">
        <f>+P53+P47+P41+P35+P29+P23+P17+P11+P59+P65+P71+P77</f>
        <v>9000</v>
      </c>
    </row>
    <row r="104" spans="2:2" x14ac:dyDescent="0.3">
      <c r="B104" t="s">
        <v>26</v>
      </c>
    </row>
  </sheetData>
  <mergeCells count="89">
    <mergeCell ref="M66:M70"/>
    <mergeCell ref="F71:G71"/>
    <mergeCell ref="A72:A77"/>
    <mergeCell ref="B72:B77"/>
    <mergeCell ref="C72:C77"/>
    <mergeCell ref="D72:D77"/>
    <mergeCell ref="E72:E77"/>
    <mergeCell ref="M72:M76"/>
    <mergeCell ref="F77:G77"/>
    <mergeCell ref="A66:A71"/>
    <mergeCell ref="B66:B71"/>
    <mergeCell ref="C66:C71"/>
    <mergeCell ref="D66:D71"/>
    <mergeCell ref="E66:E71"/>
    <mergeCell ref="M54:M58"/>
    <mergeCell ref="F59:G59"/>
    <mergeCell ref="A60:A65"/>
    <mergeCell ref="B60:B65"/>
    <mergeCell ref="C60:C65"/>
    <mergeCell ref="D60:D65"/>
    <mergeCell ref="E60:E65"/>
    <mergeCell ref="M60:M64"/>
    <mergeCell ref="F65:G65"/>
    <mergeCell ref="A54:A59"/>
    <mergeCell ref="B54:B59"/>
    <mergeCell ref="C54:C59"/>
    <mergeCell ref="D54:D59"/>
    <mergeCell ref="E54:E59"/>
    <mergeCell ref="A6:A11"/>
    <mergeCell ref="B6:B11"/>
    <mergeCell ref="C6:C11"/>
    <mergeCell ref="D6:D11"/>
    <mergeCell ref="E6:E11"/>
    <mergeCell ref="M6:M10"/>
    <mergeCell ref="F11:G11"/>
    <mergeCell ref="A79:G79"/>
    <mergeCell ref="A1:O1"/>
    <mergeCell ref="A2:O2"/>
    <mergeCell ref="A3:O3"/>
    <mergeCell ref="A4:O4"/>
    <mergeCell ref="E18:E23"/>
    <mergeCell ref="M18:M22"/>
    <mergeCell ref="F23:G23"/>
    <mergeCell ref="A12:A17"/>
    <mergeCell ref="B12:B17"/>
    <mergeCell ref="C12:C17"/>
    <mergeCell ref="D12:D17"/>
    <mergeCell ref="E12:E17"/>
    <mergeCell ref="M24:M28"/>
    <mergeCell ref="M12:M16"/>
    <mergeCell ref="F17:G17"/>
    <mergeCell ref="A18:A23"/>
    <mergeCell ref="B18:B23"/>
    <mergeCell ref="C18:C23"/>
    <mergeCell ref="D18:D23"/>
    <mergeCell ref="M30:M34"/>
    <mergeCell ref="F35:G35"/>
    <mergeCell ref="A24:A29"/>
    <mergeCell ref="B24:B29"/>
    <mergeCell ref="C24:C29"/>
    <mergeCell ref="D24:D29"/>
    <mergeCell ref="E24:E29"/>
    <mergeCell ref="F29:G29"/>
    <mergeCell ref="A30:A35"/>
    <mergeCell ref="B30:B35"/>
    <mergeCell ref="C30:C35"/>
    <mergeCell ref="D30:D35"/>
    <mergeCell ref="E30:E35"/>
    <mergeCell ref="M36:M40"/>
    <mergeCell ref="F41:G41"/>
    <mergeCell ref="A36:A41"/>
    <mergeCell ref="B36:B41"/>
    <mergeCell ref="C36:C41"/>
    <mergeCell ref="D36:D41"/>
    <mergeCell ref="E36:E41"/>
    <mergeCell ref="M42:M46"/>
    <mergeCell ref="F47:G47"/>
    <mergeCell ref="A48:A53"/>
    <mergeCell ref="B48:B53"/>
    <mergeCell ref="C48:C53"/>
    <mergeCell ref="D48:D53"/>
    <mergeCell ref="E48:E53"/>
    <mergeCell ref="M48:M52"/>
    <mergeCell ref="F53:G53"/>
    <mergeCell ref="A42:A47"/>
    <mergeCell ref="B42:B47"/>
    <mergeCell ref="C42:C47"/>
    <mergeCell ref="D42:D47"/>
    <mergeCell ref="E42:E47"/>
  </mergeCells>
  <pageMargins left="0.15748031496062992" right="0" top="0.15748031496062992" bottom="0.15748031496062992" header="0.19685039370078741" footer="0.15748031496062992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1"/>
  <sheetViews>
    <sheetView workbookViewId="0">
      <pane xSplit="5" ySplit="5" topLeftCell="F9" activePane="bottomRight" state="frozen"/>
      <selection pane="topRight" activeCell="F1" sqref="F1"/>
      <selection pane="bottomLeft" activeCell="A6" sqref="A6"/>
      <selection pane="bottomRight" activeCell="B12" sqref="B12:B17"/>
    </sheetView>
  </sheetViews>
  <sheetFormatPr defaultRowHeight="14.4" x14ac:dyDescent="0.3"/>
  <cols>
    <col min="1" max="1" width="3.5546875" customWidth="1"/>
    <col min="2" max="2" width="27.88671875" customWidth="1"/>
    <col min="3" max="3" width="6.44140625" customWidth="1"/>
    <col min="4" max="4" width="8.5546875" customWidth="1"/>
    <col min="5" max="5" width="10.88671875" customWidth="1"/>
    <col min="6" max="6" width="7.5546875" customWidth="1"/>
    <col min="7" max="7" width="10.6640625" customWidth="1"/>
    <col min="8" max="8" width="10.44140625" customWidth="1"/>
    <col min="9" max="9" width="9.33203125" customWidth="1"/>
    <col min="10" max="10" width="10" customWidth="1"/>
    <col min="11" max="11" width="7.5546875" customWidth="1"/>
    <col min="12" max="12" width="10.109375" customWidth="1"/>
    <col min="13" max="13" width="11.109375" customWidth="1"/>
    <col min="14" max="14" width="12.109375" customWidth="1"/>
    <col min="15" max="15" width="14.33203125" style="84" customWidth="1"/>
    <col min="16" max="16" width="8.6640625" customWidth="1"/>
  </cols>
  <sheetData>
    <row r="1" spans="1:16" ht="17.25" customHeight="1" x14ac:dyDescent="0.3">
      <c r="A1" s="319" t="s">
        <v>10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</row>
    <row r="2" spans="1:16" ht="22.5" customHeight="1" x14ac:dyDescent="0.4">
      <c r="A2" s="342" t="s">
        <v>11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</row>
    <row r="3" spans="1:16" ht="17.25" customHeight="1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</row>
    <row r="4" spans="1:16" ht="24.75" customHeight="1" x14ac:dyDescent="0.45">
      <c r="A4" s="320" t="s">
        <v>439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320"/>
      <c r="M4" s="320"/>
      <c r="N4" s="320"/>
      <c r="O4" s="320"/>
    </row>
    <row r="5" spans="1:16" ht="42" thickBot="1" x14ac:dyDescent="0.35">
      <c r="A5" s="23" t="s">
        <v>0</v>
      </c>
      <c r="B5" s="24" t="s">
        <v>13</v>
      </c>
      <c r="C5" s="13" t="s">
        <v>14</v>
      </c>
      <c r="D5" s="25" t="s">
        <v>1</v>
      </c>
      <c r="E5" s="13" t="s">
        <v>2</v>
      </c>
      <c r="F5" s="61" t="s">
        <v>8</v>
      </c>
      <c r="G5" s="13" t="s">
        <v>9</v>
      </c>
      <c r="H5" s="13" t="s">
        <v>46</v>
      </c>
      <c r="I5" s="13" t="s">
        <v>3</v>
      </c>
      <c r="J5" s="61" t="s">
        <v>4</v>
      </c>
      <c r="K5" s="61" t="s">
        <v>5</v>
      </c>
      <c r="L5" s="61" t="s">
        <v>15</v>
      </c>
      <c r="M5" s="61" t="s">
        <v>49</v>
      </c>
      <c r="N5" s="13" t="s">
        <v>6</v>
      </c>
      <c r="O5" s="85" t="s">
        <v>7</v>
      </c>
      <c r="P5" s="13" t="s">
        <v>44</v>
      </c>
    </row>
    <row r="6" spans="1:16" ht="14.25" customHeight="1" thickTop="1" x14ac:dyDescent="0.3">
      <c r="A6" s="249">
        <v>1</v>
      </c>
      <c r="B6" s="389" t="s">
        <v>241</v>
      </c>
      <c r="C6" s="280" t="s">
        <v>242</v>
      </c>
      <c r="D6" s="383" t="s">
        <v>243</v>
      </c>
      <c r="E6" s="276" t="s">
        <v>244</v>
      </c>
      <c r="F6" s="34">
        <v>6718</v>
      </c>
      <c r="G6" s="59" t="s">
        <v>239</v>
      </c>
      <c r="H6" s="34">
        <v>500</v>
      </c>
      <c r="I6" s="34">
        <v>1500</v>
      </c>
      <c r="J6" s="34">
        <v>3000</v>
      </c>
      <c r="K6" s="34"/>
      <c r="L6" s="34">
        <f>SUM(H6:K6)</f>
        <v>5000</v>
      </c>
      <c r="M6" s="249">
        <v>14500</v>
      </c>
      <c r="N6" s="34"/>
      <c r="O6" s="94"/>
      <c r="P6" s="34">
        <v>1500</v>
      </c>
    </row>
    <row r="7" spans="1:16" ht="14.25" customHeight="1" x14ac:dyDescent="0.3">
      <c r="A7" s="249"/>
      <c r="B7" s="267"/>
      <c r="C7" s="267"/>
      <c r="D7" s="383"/>
      <c r="E7" s="267"/>
      <c r="F7" s="36">
        <v>6820</v>
      </c>
      <c r="G7" s="36" t="s">
        <v>839</v>
      </c>
      <c r="H7" s="36"/>
      <c r="I7" s="36">
        <v>9500</v>
      </c>
      <c r="J7" s="36"/>
      <c r="K7" s="36"/>
      <c r="L7" s="34">
        <f t="shared" ref="L7:L10" si="0">SUM(H7:K7)</f>
        <v>9500</v>
      </c>
      <c r="M7" s="249"/>
      <c r="N7" s="36"/>
      <c r="O7" s="73"/>
      <c r="P7" s="36"/>
    </row>
    <row r="8" spans="1:16" ht="14.25" customHeight="1" x14ac:dyDescent="0.3">
      <c r="A8" s="249"/>
      <c r="B8" s="267"/>
      <c r="C8" s="267"/>
      <c r="D8" s="383"/>
      <c r="E8" s="267"/>
      <c r="F8" s="31"/>
      <c r="G8" s="36"/>
      <c r="H8" s="36"/>
      <c r="I8" s="36"/>
      <c r="J8" s="36"/>
      <c r="K8" s="36"/>
      <c r="L8" s="34">
        <f t="shared" si="0"/>
        <v>0</v>
      </c>
      <c r="M8" s="249"/>
      <c r="N8" s="36"/>
      <c r="O8" s="81"/>
      <c r="P8" s="36"/>
    </row>
    <row r="9" spans="1:16" ht="14.25" customHeight="1" x14ac:dyDescent="0.3">
      <c r="A9" s="249"/>
      <c r="B9" s="267"/>
      <c r="C9" s="267"/>
      <c r="D9" s="383"/>
      <c r="E9" s="267"/>
      <c r="F9" s="36"/>
      <c r="G9" s="36"/>
      <c r="H9" s="36"/>
      <c r="I9" s="36"/>
      <c r="J9" s="36"/>
      <c r="K9" s="36"/>
      <c r="L9" s="34">
        <f t="shared" si="0"/>
        <v>0</v>
      </c>
      <c r="M9" s="249"/>
      <c r="N9" s="36"/>
      <c r="O9" s="73"/>
      <c r="P9" s="36"/>
    </row>
    <row r="10" spans="1:16" ht="14.25" customHeight="1" thickBot="1" x14ac:dyDescent="0.35">
      <c r="A10" s="249"/>
      <c r="B10" s="267"/>
      <c r="C10" s="267"/>
      <c r="D10" s="383"/>
      <c r="E10" s="267"/>
      <c r="F10" s="41"/>
      <c r="G10" s="41"/>
      <c r="H10" s="41"/>
      <c r="I10" s="41"/>
      <c r="J10" s="41"/>
      <c r="K10" s="41"/>
      <c r="L10" s="34">
        <f t="shared" si="0"/>
        <v>0</v>
      </c>
      <c r="M10" s="250"/>
      <c r="N10" s="41"/>
      <c r="O10" s="93"/>
      <c r="P10" s="41"/>
    </row>
    <row r="11" spans="1:16" ht="15.6" thickTop="1" thickBot="1" x14ac:dyDescent="0.35">
      <c r="A11" s="250"/>
      <c r="B11" s="268"/>
      <c r="C11" s="268"/>
      <c r="D11" s="384"/>
      <c r="E11" s="268"/>
      <c r="F11" s="251"/>
      <c r="G11" s="252"/>
      <c r="H11" s="14">
        <f t="shared" ref="H11:K11" si="1">SUM(H6:H10)</f>
        <v>500</v>
      </c>
      <c r="I11" s="14">
        <f t="shared" si="1"/>
        <v>11000</v>
      </c>
      <c r="J11" s="14">
        <f t="shared" si="1"/>
        <v>3000</v>
      </c>
      <c r="K11" s="14">
        <f t="shared" si="1"/>
        <v>0</v>
      </c>
      <c r="L11" s="14">
        <f>SUM(L6:L10)</f>
        <v>14500</v>
      </c>
      <c r="M11" s="14"/>
      <c r="N11" s="14">
        <f>+M6-L11</f>
        <v>0</v>
      </c>
      <c r="O11" s="153"/>
      <c r="P11" s="14">
        <f>SUM(P6:P10)</f>
        <v>1500</v>
      </c>
    </row>
    <row r="12" spans="1:16" ht="14.25" customHeight="1" thickTop="1" x14ac:dyDescent="0.3">
      <c r="A12" s="248">
        <v>2</v>
      </c>
      <c r="B12" s="253" t="s">
        <v>817</v>
      </c>
      <c r="C12" s="286" t="s">
        <v>705</v>
      </c>
      <c r="D12" s="381" t="s">
        <v>243</v>
      </c>
      <c r="E12" s="371"/>
      <c r="F12" s="3">
        <v>7010</v>
      </c>
      <c r="G12" s="7" t="s">
        <v>812</v>
      </c>
      <c r="H12" s="4">
        <v>500</v>
      </c>
      <c r="I12" s="4">
        <v>3000</v>
      </c>
      <c r="J12" s="4"/>
      <c r="K12" s="4"/>
      <c r="L12" s="4">
        <f>SUM(H12:K12)</f>
        <v>3500</v>
      </c>
      <c r="M12" s="340">
        <v>14500</v>
      </c>
      <c r="N12" s="4"/>
      <c r="O12" s="89"/>
      <c r="P12" s="39">
        <v>1500</v>
      </c>
    </row>
    <row r="13" spans="1:16" ht="14.25" customHeight="1" x14ac:dyDescent="0.3">
      <c r="A13" s="241"/>
      <c r="B13" s="254"/>
      <c r="C13" s="287"/>
      <c r="D13" s="381"/>
      <c r="E13" s="257"/>
      <c r="F13" s="16"/>
      <c r="G13" s="4"/>
      <c r="H13" s="4"/>
      <c r="I13" s="4"/>
      <c r="J13" s="4"/>
      <c r="K13" s="4"/>
      <c r="L13" s="4">
        <f>SUM(H13:K13)</f>
        <v>0</v>
      </c>
      <c r="M13" s="340"/>
      <c r="N13" s="4"/>
      <c r="O13" s="72" t="s">
        <v>240</v>
      </c>
      <c r="P13" s="36"/>
    </row>
    <row r="14" spans="1:16" ht="14.25" customHeight="1" x14ac:dyDescent="0.3">
      <c r="A14" s="241"/>
      <c r="B14" s="254"/>
      <c r="C14" s="287"/>
      <c r="D14" s="381"/>
      <c r="E14" s="257"/>
      <c r="F14" s="4"/>
      <c r="G14" s="4"/>
      <c r="H14" s="4"/>
      <c r="I14" s="4"/>
      <c r="J14" s="4"/>
      <c r="K14" s="4"/>
      <c r="L14" s="4">
        <f>SUM(H14:K14)</f>
        <v>0</v>
      </c>
      <c r="M14" s="340"/>
      <c r="N14" s="4"/>
      <c r="O14" s="86"/>
      <c r="P14" s="36"/>
    </row>
    <row r="15" spans="1:16" ht="14.25" customHeight="1" x14ac:dyDescent="0.3">
      <c r="A15" s="241"/>
      <c r="B15" s="254"/>
      <c r="C15" s="287"/>
      <c r="D15" s="381"/>
      <c r="E15" s="257"/>
      <c r="F15" s="4"/>
      <c r="G15" s="4"/>
      <c r="H15" s="4"/>
      <c r="I15" s="4"/>
      <c r="J15" s="4"/>
      <c r="K15" s="4"/>
      <c r="L15" s="4">
        <f>SUM(H15:K15)</f>
        <v>0</v>
      </c>
      <c r="M15" s="340"/>
      <c r="N15" s="4"/>
      <c r="O15" s="71"/>
      <c r="P15" s="36"/>
    </row>
    <row r="16" spans="1:16" ht="14.25" customHeight="1" thickBot="1" x14ac:dyDescent="0.35">
      <c r="A16" s="241"/>
      <c r="B16" s="254"/>
      <c r="C16" s="287"/>
      <c r="D16" s="381"/>
      <c r="E16" s="257"/>
      <c r="F16" s="6"/>
      <c r="G16" s="6"/>
      <c r="H16" s="4"/>
      <c r="I16" s="4"/>
      <c r="J16" s="4"/>
      <c r="K16" s="4"/>
      <c r="L16" s="4">
        <f>SUM(H16:K16)</f>
        <v>0</v>
      </c>
      <c r="M16" s="340"/>
      <c r="N16" s="4"/>
      <c r="O16" s="78"/>
      <c r="P16" s="41"/>
    </row>
    <row r="17" spans="1:16" ht="15.6" thickTop="1" thickBot="1" x14ac:dyDescent="0.35">
      <c r="A17" s="242"/>
      <c r="B17" s="255"/>
      <c r="C17" s="288"/>
      <c r="D17" s="382"/>
      <c r="E17" s="258"/>
      <c r="F17" s="243"/>
      <c r="G17" s="244"/>
      <c r="H17" s="56">
        <f>SUM(H12:H16)</f>
        <v>500</v>
      </c>
      <c r="I17" s="56">
        <f t="shared" ref="I17:L17" si="2">SUM(I12:I16)</f>
        <v>3000</v>
      </c>
      <c r="J17" s="56">
        <f t="shared" si="2"/>
        <v>0</v>
      </c>
      <c r="K17" s="56">
        <f t="shared" si="2"/>
        <v>0</v>
      </c>
      <c r="L17" s="56">
        <f t="shared" si="2"/>
        <v>3500</v>
      </c>
      <c r="M17" s="56"/>
      <c r="N17" s="56">
        <f>M12-L17</f>
        <v>11000</v>
      </c>
      <c r="O17" s="88"/>
      <c r="P17" s="14">
        <f>SUM(P12:P16)</f>
        <v>1500</v>
      </c>
    </row>
    <row r="18" spans="1:16" ht="14.25" customHeight="1" thickTop="1" x14ac:dyDescent="0.3">
      <c r="A18" s="248">
        <v>3</v>
      </c>
      <c r="B18" s="253"/>
      <c r="C18" s="256"/>
      <c r="D18" s="381"/>
      <c r="E18" s="371"/>
      <c r="F18" s="3"/>
      <c r="G18" s="29"/>
      <c r="H18" s="4"/>
      <c r="I18" s="4"/>
      <c r="J18" s="4"/>
      <c r="K18" s="4"/>
      <c r="L18" s="4">
        <f>SUM(H18:K18)</f>
        <v>0</v>
      </c>
      <c r="M18" s="340"/>
      <c r="N18" s="4"/>
      <c r="O18" s="71" t="s">
        <v>295</v>
      </c>
      <c r="P18" s="39"/>
    </row>
    <row r="19" spans="1:16" ht="14.25" customHeight="1" x14ac:dyDescent="0.3">
      <c r="A19" s="241"/>
      <c r="B19" s="254"/>
      <c r="C19" s="257"/>
      <c r="D19" s="381"/>
      <c r="E19" s="257"/>
      <c r="F19" s="16"/>
      <c r="G19" s="4"/>
      <c r="H19" s="4"/>
      <c r="I19" s="4"/>
      <c r="J19" s="4"/>
      <c r="K19" s="4"/>
      <c r="L19" s="4">
        <f>SUM(H19:K19)</f>
        <v>0</v>
      </c>
      <c r="M19" s="340"/>
      <c r="N19" s="4"/>
      <c r="O19" s="71"/>
      <c r="P19" s="36"/>
    </row>
    <row r="20" spans="1:16" ht="14.25" customHeight="1" x14ac:dyDescent="0.3">
      <c r="A20" s="241"/>
      <c r="B20" s="254"/>
      <c r="C20" s="257"/>
      <c r="D20" s="381"/>
      <c r="E20" s="257"/>
      <c r="F20" s="4"/>
      <c r="G20" s="4"/>
      <c r="H20" s="4"/>
      <c r="I20" s="4"/>
      <c r="J20" s="4"/>
      <c r="K20" s="4"/>
      <c r="L20" s="4">
        <f>SUM(H20:K20)</f>
        <v>0</v>
      </c>
      <c r="M20" s="340"/>
      <c r="N20" s="4"/>
      <c r="O20" s="78"/>
      <c r="P20" s="36"/>
    </row>
    <row r="21" spans="1:16" ht="14.25" customHeight="1" x14ac:dyDescent="0.3">
      <c r="A21" s="241"/>
      <c r="B21" s="254"/>
      <c r="C21" s="257"/>
      <c r="D21" s="381"/>
      <c r="E21" s="257"/>
      <c r="F21" s="4"/>
      <c r="G21" s="4"/>
      <c r="H21" s="4"/>
      <c r="I21" s="4"/>
      <c r="J21" s="4"/>
      <c r="K21" s="4"/>
      <c r="L21" s="4">
        <f>SUM(H21:K21)</f>
        <v>0</v>
      </c>
      <c r="M21" s="340"/>
      <c r="N21" s="4"/>
      <c r="O21" s="71"/>
      <c r="P21" s="36"/>
    </row>
    <row r="22" spans="1:16" ht="14.25" customHeight="1" thickBot="1" x14ac:dyDescent="0.35">
      <c r="A22" s="241"/>
      <c r="B22" s="254"/>
      <c r="C22" s="257"/>
      <c r="D22" s="381"/>
      <c r="E22" s="257"/>
      <c r="F22" s="6"/>
      <c r="G22" s="6"/>
      <c r="H22" s="4"/>
      <c r="I22" s="4"/>
      <c r="J22" s="4"/>
      <c r="K22" s="4"/>
      <c r="L22" s="4">
        <f>SUM(H22:K22)</f>
        <v>0</v>
      </c>
      <c r="M22" s="340"/>
      <c r="N22" s="4"/>
      <c r="O22" s="87"/>
      <c r="P22" s="41"/>
    </row>
    <row r="23" spans="1:16" ht="15.6" thickTop="1" thickBot="1" x14ac:dyDescent="0.35">
      <c r="A23" s="242"/>
      <c r="B23" s="255"/>
      <c r="C23" s="258"/>
      <c r="D23" s="382"/>
      <c r="E23" s="258"/>
      <c r="F23" s="243"/>
      <c r="G23" s="244"/>
      <c r="H23" s="56">
        <f>SUM(H18:H22)</f>
        <v>0</v>
      </c>
      <c r="I23" s="56">
        <f t="shared" ref="I23:L23" si="3">SUM(I18:I22)</f>
        <v>0</v>
      </c>
      <c r="J23" s="56">
        <f t="shared" si="3"/>
        <v>0</v>
      </c>
      <c r="K23" s="56">
        <f t="shared" si="3"/>
        <v>0</v>
      </c>
      <c r="L23" s="56">
        <f t="shared" si="3"/>
        <v>0</v>
      </c>
      <c r="M23" s="56"/>
      <c r="N23" s="56">
        <f>M18-L23</f>
        <v>0</v>
      </c>
      <c r="O23" s="88"/>
      <c r="P23" s="14">
        <f>SUM(P18:P22)</f>
        <v>0</v>
      </c>
    </row>
    <row r="24" spans="1:16" ht="14.25" customHeight="1" thickTop="1" x14ac:dyDescent="0.3">
      <c r="A24" s="248"/>
      <c r="B24" s="321"/>
      <c r="C24" s="256"/>
      <c r="D24" s="381"/>
      <c r="E24" s="259"/>
      <c r="F24" s="3"/>
      <c r="G24" s="29"/>
      <c r="H24" s="4"/>
      <c r="I24" s="4"/>
      <c r="J24" s="4"/>
      <c r="K24" s="4"/>
      <c r="L24" s="4">
        <f>SUM(H24:K24)</f>
        <v>0</v>
      </c>
      <c r="M24" s="340"/>
      <c r="N24" s="4"/>
      <c r="O24" s="71"/>
      <c r="P24" s="39"/>
    </row>
    <row r="25" spans="1:16" ht="14.25" customHeight="1" x14ac:dyDescent="0.3">
      <c r="A25" s="241"/>
      <c r="B25" s="257"/>
      <c r="C25" s="257"/>
      <c r="D25" s="381"/>
      <c r="E25" s="257"/>
      <c r="F25" s="16"/>
      <c r="G25" s="4"/>
      <c r="H25" s="4"/>
      <c r="I25" s="4"/>
      <c r="J25" s="4"/>
      <c r="K25" s="4"/>
      <c r="L25" s="4">
        <f>SUM(H25:K25)</f>
        <v>0</v>
      </c>
      <c r="M25" s="340"/>
      <c r="N25" s="4"/>
      <c r="O25" s="176"/>
      <c r="P25" s="36"/>
    </row>
    <row r="26" spans="1:16" ht="14.25" customHeight="1" x14ac:dyDescent="0.3">
      <c r="A26" s="241"/>
      <c r="B26" s="257"/>
      <c r="C26" s="257"/>
      <c r="D26" s="381"/>
      <c r="E26" s="257"/>
      <c r="F26" s="4"/>
      <c r="G26" s="4"/>
      <c r="H26" s="4"/>
      <c r="I26" s="4"/>
      <c r="J26" s="4"/>
      <c r="K26" s="4"/>
      <c r="L26" s="4">
        <f>SUM(H26:K26)</f>
        <v>0</v>
      </c>
      <c r="M26" s="340"/>
      <c r="N26" s="4"/>
      <c r="O26" s="78"/>
      <c r="P26" s="36"/>
    </row>
    <row r="27" spans="1:16" ht="14.25" customHeight="1" x14ac:dyDescent="0.3">
      <c r="A27" s="241"/>
      <c r="B27" s="257"/>
      <c r="C27" s="257"/>
      <c r="D27" s="381"/>
      <c r="E27" s="257"/>
      <c r="F27" s="4"/>
      <c r="G27" s="4"/>
      <c r="H27" s="4"/>
      <c r="I27" s="4"/>
      <c r="J27" s="4"/>
      <c r="K27" s="4"/>
      <c r="L27" s="4">
        <f>SUM(H27:K27)</f>
        <v>0</v>
      </c>
      <c r="M27" s="340"/>
      <c r="N27" s="4"/>
      <c r="O27" s="71"/>
      <c r="P27" s="36"/>
    </row>
    <row r="28" spans="1:16" ht="14.25" customHeight="1" thickBot="1" x14ac:dyDescent="0.35">
      <c r="A28" s="241"/>
      <c r="B28" s="257"/>
      <c r="C28" s="257"/>
      <c r="D28" s="381"/>
      <c r="E28" s="257"/>
      <c r="F28" s="6"/>
      <c r="G28" s="6"/>
      <c r="H28" s="4"/>
      <c r="I28" s="4"/>
      <c r="J28" s="4"/>
      <c r="K28" s="4"/>
      <c r="L28" s="4">
        <f>SUM(H28:K28)</f>
        <v>0</v>
      </c>
      <c r="M28" s="340"/>
      <c r="N28" s="4"/>
      <c r="O28" s="87"/>
      <c r="P28" s="41"/>
    </row>
    <row r="29" spans="1:16" ht="15.6" thickTop="1" thickBot="1" x14ac:dyDescent="0.35">
      <c r="A29" s="242"/>
      <c r="B29" s="258"/>
      <c r="C29" s="258"/>
      <c r="D29" s="382"/>
      <c r="E29" s="258"/>
      <c r="F29" s="243"/>
      <c r="G29" s="244"/>
      <c r="H29" s="56">
        <f>SUM(H24:H28)</f>
        <v>0</v>
      </c>
      <c r="I29" s="56">
        <f t="shared" ref="I29:L29" si="4">SUM(I24:I28)</f>
        <v>0</v>
      </c>
      <c r="J29" s="56">
        <f t="shared" si="4"/>
        <v>0</v>
      </c>
      <c r="K29" s="56">
        <f t="shared" si="4"/>
        <v>0</v>
      </c>
      <c r="L29" s="56">
        <f t="shared" si="4"/>
        <v>0</v>
      </c>
      <c r="M29" s="56"/>
      <c r="N29" s="56">
        <f>M24-L29</f>
        <v>0</v>
      </c>
      <c r="O29" s="88"/>
      <c r="P29" s="14"/>
    </row>
    <row r="30" spans="1:16" ht="14.25" customHeight="1" thickTop="1" x14ac:dyDescent="0.3">
      <c r="A30" s="248"/>
      <c r="B30" s="321"/>
      <c r="C30" s="256"/>
      <c r="D30" s="381"/>
      <c r="E30" s="371"/>
      <c r="F30" s="3"/>
      <c r="G30" s="29"/>
      <c r="H30" s="4"/>
      <c r="I30" s="4"/>
      <c r="J30" s="4"/>
      <c r="K30" s="4"/>
      <c r="L30" s="4">
        <f>SUM(H30:K30)</f>
        <v>0</v>
      </c>
      <c r="M30" s="340"/>
      <c r="N30" s="4"/>
      <c r="O30" s="86"/>
      <c r="P30" s="39"/>
    </row>
    <row r="31" spans="1:16" ht="14.25" customHeight="1" x14ac:dyDescent="0.3">
      <c r="A31" s="241"/>
      <c r="B31" s="257"/>
      <c r="C31" s="257"/>
      <c r="D31" s="381"/>
      <c r="E31" s="257"/>
      <c r="F31" s="16"/>
      <c r="G31" s="4"/>
      <c r="H31" s="4"/>
      <c r="I31" s="4"/>
      <c r="J31" s="4"/>
      <c r="K31" s="4"/>
      <c r="L31" s="4">
        <f>SUM(H31:K31)</f>
        <v>0</v>
      </c>
      <c r="M31" s="340"/>
      <c r="N31" s="4"/>
      <c r="O31" s="71"/>
      <c r="P31" s="36"/>
    </row>
    <row r="32" spans="1:16" ht="14.25" customHeight="1" x14ac:dyDescent="0.3">
      <c r="A32" s="241"/>
      <c r="B32" s="257"/>
      <c r="C32" s="257"/>
      <c r="D32" s="381"/>
      <c r="E32" s="257"/>
      <c r="F32" s="4"/>
      <c r="G32" s="4"/>
      <c r="H32" s="4"/>
      <c r="I32" s="4"/>
      <c r="J32" s="4"/>
      <c r="K32" s="4"/>
      <c r="L32" s="4">
        <f>SUM(H32:K32)</f>
        <v>0</v>
      </c>
      <c r="M32" s="340"/>
      <c r="N32" s="4"/>
      <c r="O32" s="78"/>
      <c r="P32" s="36"/>
    </row>
    <row r="33" spans="1:16" ht="14.25" customHeight="1" x14ac:dyDescent="0.3">
      <c r="A33" s="241"/>
      <c r="B33" s="257"/>
      <c r="C33" s="257"/>
      <c r="D33" s="381"/>
      <c r="E33" s="257"/>
      <c r="F33" s="4"/>
      <c r="G33" s="4"/>
      <c r="H33" s="4"/>
      <c r="I33" s="4"/>
      <c r="J33" s="4"/>
      <c r="K33" s="4"/>
      <c r="L33" s="4">
        <f>SUM(H33:K33)</f>
        <v>0</v>
      </c>
      <c r="M33" s="340"/>
      <c r="N33" s="4"/>
      <c r="O33" s="71"/>
      <c r="P33" s="36"/>
    </row>
    <row r="34" spans="1:16" ht="14.25" customHeight="1" thickBot="1" x14ac:dyDescent="0.35">
      <c r="A34" s="241"/>
      <c r="B34" s="257"/>
      <c r="C34" s="257"/>
      <c r="D34" s="381"/>
      <c r="E34" s="257"/>
      <c r="F34" s="6"/>
      <c r="G34" s="6"/>
      <c r="H34" s="4"/>
      <c r="I34" s="4"/>
      <c r="J34" s="4"/>
      <c r="K34" s="4"/>
      <c r="L34" s="4">
        <f>SUM(H34:K34)</f>
        <v>0</v>
      </c>
      <c r="M34" s="340"/>
      <c r="N34" s="4"/>
      <c r="O34" s="87"/>
      <c r="P34" s="41"/>
    </row>
    <row r="35" spans="1:16" ht="15.6" thickTop="1" thickBot="1" x14ac:dyDescent="0.35">
      <c r="A35" s="242"/>
      <c r="B35" s="258"/>
      <c r="C35" s="258"/>
      <c r="D35" s="382"/>
      <c r="E35" s="258"/>
      <c r="F35" s="243"/>
      <c r="G35" s="244"/>
      <c r="H35" s="56">
        <f>SUM(H30:H34)</f>
        <v>0</v>
      </c>
      <c r="I35" s="56">
        <f t="shared" ref="I35:L35" si="5">SUM(I30:I34)</f>
        <v>0</v>
      </c>
      <c r="J35" s="56">
        <f t="shared" si="5"/>
        <v>0</v>
      </c>
      <c r="K35" s="56">
        <f t="shared" si="5"/>
        <v>0</v>
      </c>
      <c r="L35" s="56">
        <f t="shared" si="5"/>
        <v>0</v>
      </c>
      <c r="M35" s="56"/>
      <c r="N35" s="56">
        <f>M30-L35</f>
        <v>0</v>
      </c>
      <c r="O35" s="88"/>
      <c r="P35" s="14"/>
    </row>
    <row r="36" spans="1:16" ht="15" thickTop="1" x14ac:dyDescent="0.3">
      <c r="A36" s="248"/>
      <c r="B36" s="321"/>
      <c r="C36" s="256"/>
      <c r="D36" s="381"/>
      <c r="E36" s="371"/>
      <c r="F36" s="3"/>
      <c r="G36" s="29"/>
      <c r="H36" s="4"/>
      <c r="I36" s="4"/>
      <c r="J36" s="4"/>
      <c r="K36" s="4"/>
      <c r="L36" s="4">
        <f>SUM(H36:K36)</f>
        <v>0</v>
      </c>
      <c r="M36" s="340"/>
      <c r="N36" s="4"/>
      <c r="O36" s="86"/>
      <c r="P36" s="39"/>
    </row>
    <row r="37" spans="1:16" x14ac:dyDescent="0.3">
      <c r="A37" s="241"/>
      <c r="B37" s="257"/>
      <c r="C37" s="257"/>
      <c r="D37" s="381"/>
      <c r="E37" s="257"/>
      <c r="F37" s="16"/>
      <c r="G37" s="4"/>
      <c r="H37" s="4"/>
      <c r="I37" s="4"/>
      <c r="J37" s="4"/>
      <c r="K37" s="4"/>
      <c r="L37" s="4">
        <f>SUM(H37:K37)</f>
        <v>0</v>
      </c>
      <c r="M37" s="340"/>
      <c r="N37" s="4"/>
      <c r="O37" s="71"/>
      <c r="P37" s="36"/>
    </row>
    <row r="38" spans="1:16" x14ac:dyDescent="0.3">
      <c r="A38" s="241"/>
      <c r="B38" s="257"/>
      <c r="C38" s="257"/>
      <c r="D38" s="381"/>
      <c r="E38" s="257"/>
      <c r="F38" s="4"/>
      <c r="G38" s="4"/>
      <c r="H38" s="4"/>
      <c r="I38" s="4"/>
      <c r="J38" s="4"/>
      <c r="K38" s="4"/>
      <c r="L38" s="4">
        <f>SUM(H38:K38)</f>
        <v>0</v>
      </c>
      <c r="M38" s="340"/>
      <c r="N38" s="4"/>
      <c r="O38" s="78"/>
      <c r="P38" s="36"/>
    </row>
    <row r="39" spans="1:16" x14ac:dyDescent="0.3">
      <c r="A39" s="241"/>
      <c r="B39" s="257"/>
      <c r="C39" s="257"/>
      <c r="D39" s="381"/>
      <c r="E39" s="257"/>
      <c r="F39" s="4"/>
      <c r="G39" s="4"/>
      <c r="H39" s="4"/>
      <c r="I39" s="4"/>
      <c r="J39" s="4"/>
      <c r="K39" s="4"/>
      <c r="L39" s="4">
        <f>SUM(H39:K39)</f>
        <v>0</v>
      </c>
      <c r="M39" s="340"/>
      <c r="N39" s="4"/>
      <c r="O39" s="71"/>
      <c r="P39" s="36"/>
    </row>
    <row r="40" spans="1:16" ht="15" thickBot="1" x14ac:dyDescent="0.35">
      <c r="A40" s="241"/>
      <c r="B40" s="257"/>
      <c r="C40" s="257"/>
      <c r="D40" s="381"/>
      <c r="E40" s="257"/>
      <c r="F40" s="6"/>
      <c r="G40" s="6"/>
      <c r="H40" s="4"/>
      <c r="I40" s="4"/>
      <c r="J40" s="4"/>
      <c r="K40" s="4"/>
      <c r="L40" s="4">
        <f>SUM(H40:K40)</f>
        <v>0</v>
      </c>
      <c r="M40" s="340"/>
      <c r="N40" s="4"/>
      <c r="O40" s="87"/>
      <c r="P40" s="41"/>
    </row>
    <row r="41" spans="1:16" ht="15.6" thickTop="1" thickBot="1" x14ac:dyDescent="0.35">
      <c r="A41" s="242"/>
      <c r="B41" s="258"/>
      <c r="C41" s="258"/>
      <c r="D41" s="382"/>
      <c r="E41" s="258"/>
      <c r="F41" s="243"/>
      <c r="G41" s="244"/>
      <c r="H41" s="56">
        <f>SUM(H36:H40)</f>
        <v>0</v>
      </c>
      <c r="I41" s="56">
        <f t="shared" ref="I41:L41" si="6">SUM(I36:I40)</f>
        <v>0</v>
      </c>
      <c r="J41" s="56">
        <f t="shared" si="6"/>
        <v>0</v>
      </c>
      <c r="K41" s="56">
        <f t="shared" si="6"/>
        <v>0</v>
      </c>
      <c r="L41" s="56">
        <f t="shared" si="6"/>
        <v>0</v>
      </c>
      <c r="M41" s="56"/>
      <c r="N41" s="56">
        <f>M36-L41</f>
        <v>0</v>
      </c>
      <c r="O41" s="88"/>
      <c r="P41" s="14"/>
    </row>
    <row r="42" spans="1:16" ht="16.2" thickTop="1" x14ac:dyDescent="0.3">
      <c r="A42" s="372" t="s">
        <v>15</v>
      </c>
      <c r="B42" s="373"/>
      <c r="C42" s="373"/>
      <c r="D42" s="373"/>
      <c r="E42" s="373"/>
      <c r="F42" s="373"/>
      <c r="G42" s="374"/>
      <c r="H42" s="2">
        <f t="shared" ref="H42:K42" si="7">+H23+H17+H11+H29+H35+H41</f>
        <v>1000</v>
      </c>
      <c r="I42" s="2">
        <f t="shared" si="7"/>
        <v>14000</v>
      </c>
      <c r="J42" s="2">
        <f t="shared" si="7"/>
        <v>3000</v>
      </c>
      <c r="K42" s="2">
        <f t="shared" si="7"/>
        <v>0</v>
      </c>
      <c r="L42" s="2">
        <f>+L23+L17+L11+L29+L35+L41</f>
        <v>18000</v>
      </c>
      <c r="M42" s="2">
        <f>SUM(M6:M23)+M24+M30+M36</f>
        <v>29000</v>
      </c>
      <c r="N42" s="2">
        <f>+N23+N17+N11+N29+N35+N41</f>
        <v>11000</v>
      </c>
      <c r="O42" s="83"/>
      <c r="P42" s="2">
        <f>+P23+P17+P11+P29+P35+P41</f>
        <v>3000</v>
      </c>
    </row>
    <row r="48" spans="1:16" x14ac:dyDescent="0.3">
      <c r="C48" t="s">
        <v>34</v>
      </c>
      <c r="D48">
        <v>1</v>
      </c>
    </row>
    <row r="49" spans="3:4" x14ac:dyDescent="0.3">
      <c r="C49" t="s">
        <v>51</v>
      </c>
      <c r="D49">
        <v>2</v>
      </c>
    </row>
    <row r="50" spans="3:4" x14ac:dyDescent="0.3">
      <c r="C50" t="s">
        <v>52</v>
      </c>
      <c r="D50">
        <v>3</v>
      </c>
    </row>
    <row r="51" spans="3:4" ht="18" x14ac:dyDescent="0.35">
      <c r="D51" s="158">
        <f>+D50+D49+D48</f>
        <v>6</v>
      </c>
    </row>
  </sheetData>
  <mergeCells count="47">
    <mergeCell ref="M36:M40"/>
    <mergeCell ref="F41:G41"/>
    <mergeCell ref="M24:M28"/>
    <mergeCell ref="F29:G29"/>
    <mergeCell ref="A30:A35"/>
    <mergeCell ref="B30:B35"/>
    <mergeCell ref="C30:C35"/>
    <mergeCell ref="D30:D35"/>
    <mergeCell ref="E30:E35"/>
    <mergeCell ref="M30:M34"/>
    <mergeCell ref="F35:G35"/>
    <mergeCell ref="A1:O1"/>
    <mergeCell ref="A2:O2"/>
    <mergeCell ref="A3:O3"/>
    <mergeCell ref="A4:O4"/>
    <mergeCell ref="A6:A11"/>
    <mergeCell ref="B6:B11"/>
    <mergeCell ref="C6:C11"/>
    <mergeCell ref="D6:D11"/>
    <mergeCell ref="E6:E11"/>
    <mergeCell ref="M6:M10"/>
    <mergeCell ref="F11:G11"/>
    <mergeCell ref="M12:M16"/>
    <mergeCell ref="F17:G17"/>
    <mergeCell ref="A18:A23"/>
    <mergeCell ref="B18:B23"/>
    <mergeCell ref="C18:C23"/>
    <mergeCell ref="D18:D23"/>
    <mergeCell ref="E18:E23"/>
    <mergeCell ref="M18:M22"/>
    <mergeCell ref="F23:G23"/>
    <mergeCell ref="A42:G42"/>
    <mergeCell ref="A12:A17"/>
    <mergeCell ref="B12:B17"/>
    <mergeCell ref="C12:C17"/>
    <mergeCell ref="D12:D17"/>
    <mergeCell ref="E12:E17"/>
    <mergeCell ref="A24:A29"/>
    <mergeCell ref="B24:B29"/>
    <mergeCell ref="C24:C29"/>
    <mergeCell ref="D24:D29"/>
    <mergeCell ref="E24:E29"/>
    <mergeCell ref="A36:A41"/>
    <mergeCell ref="B36:B41"/>
    <mergeCell ref="C36:C41"/>
    <mergeCell ref="D36:D41"/>
    <mergeCell ref="E36:E41"/>
  </mergeCells>
  <pageMargins left="0.16" right="0" top="0.15748031496062992" bottom="0.15748031496062992" header="0.19685039370078741" footer="0.15748031496062992"/>
  <pageSetup paperSize="9" scale="8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8"/>
  <sheetViews>
    <sheetView topLeftCell="A4" workbookViewId="0">
      <selection activeCell="M11" sqref="M11"/>
    </sheetView>
  </sheetViews>
  <sheetFormatPr defaultRowHeight="14.4" x14ac:dyDescent="0.3"/>
  <cols>
    <col min="1" max="1" width="3.5546875" customWidth="1"/>
    <col min="2" max="2" width="28" customWidth="1"/>
    <col min="3" max="3" width="6.5546875" customWidth="1"/>
    <col min="4" max="4" width="7.44140625" customWidth="1"/>
    <col min="5" max="5" width="10.5546875" customWidth="1"/>
    <col min="6" max="6" width="7.5546875" customWidth="1"/>
    <col min="7" max="7" width="9.6640625" customWidth="1"/>
    <col min="8" max="8" width="8.5546875" customWidth="1"/>
    <col min="9" max="9" width="9" customWidth="1"/>
    <col min="10" max="10" width="10" customWidth="1"/>
    <col min="11" max="11" width="7.5546875" customWidth="1"/>
    <col min="12" max="12" width="10.109375" customWidth="1"/>
    <col min="13" max="13" width="11.109375" customWidth="1"/>
    <col min="14" max="14" width="12.109375" customWidth="1"/>
    <col min="15" max="15" width="14.33203125" style="84" customWidth="1"/>
    <col min="16" max="16" width="9" customWidth="1"/>
  </cols>
  <sheetData>
    <row r="1" spans="1:16" ht="20.399999999999999" x14ac:dyDescent="0.35">
      <c r="A1" s="405" t="s">
        <v>10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</row>
    <row r="2" spans="1:16" ht="27.6" x14ac:dyDescent="0.45">
      <c r="A2" s="406" t="s">
        <v>11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</row>
    <row r="3" spans="1:16" ht="20.399999999999999" x14ac:dyDescent="0.35">
      <c r="A3" s="405" t="s">
        <v>12</v>
      </c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</row>
    <row r="4" spans="1:16" ht="25.2" x14ac:dyDescent="0.45">
      <c r="A4" s="407" t="s">
        <v>440</v>
      </c>
      <c r="B4" s="407"/>
      <c r="C4" s="407"/>
      <c r="D4" s="407"/>
      <c r="E4" s="407"/>
      <c r="F4" s="407"/>
      <c r="G4" s="407"/>
      <c r="H4" s="407"/>
      <c r="I4" s="407"/>
      <c r="J4" s="407"/>
      <c r="K4" s="407"/>
      <c r="L4" s="407"/>
      <c r="M4" s="407"/>
      <c r="N4" s="407"/>
      <c r="O4" s="407"/>
    </row>
    <row r="5" spans="1:16" ht="50.25" customHeight="1" thickBot="1" x14ac:dyDescent="0.35">
      <c r="A5" s="74" t="s">
        <v>0</v>
      </c>
      <c r="B5" s="75" t="s">
        <v>13</v>
      </c>
      <c r="C5" s="61" t="s">
        <v>14</v>
      </c>
      <c r="D5" s="76" t="s">
        <v>1</v>
      </c>
      <c r="E5" s="61" t="s">
        <v>2</v>
      </c>
      <c r="F5" s="61" t="s">
        <v>8</v>
      </c>
      <c r="G5" s="61" t="s">
        <v>9</v>
      </c>
      <c r="H5" s="61" t="s">
        <v>46</v>
      </c>
      <c r="I5" s="61" t="s">
        <v>3</v>
      </c>
      <c r="J5" s="61" t="s">
        <v>4</v>
      </c>
      <c r="K5" s="61" t="s">
        <v>5</v>
      </c>
      <c r="L5" s="61" t="s">
        <v>15</v>
      </c>
      <c r="M5" s="61" t="s">
        <v>49</v>
      </c>
      <c r="N5" s="61" t="s">
        <v>6</v>
      </c>
      <c r="O5" s="102" t="s">
        <v>7</v>
      </c>
      <c r="P5" s="61" t="s">
        <v>44</v>
      </c>
    </row>
    <row r="6" spans="1:16" ht="15.75" customHeight="1" thickTop="1" x14ac:dyDescent="0.3">
      <c r="A6" s="248">
        <v>1</v>
      </c>
      <c r="B6" s="321" t="s">
        <v>901</v>
      </c>
      <c r="C6" s="256" t="s">
        <v>902</v>
      </c>
      <c r="D6" s="257" t="s">
        <v>553</v>
      </c>
      <c r="E6" s="292" t="s">
        <v>815</v>
      </c>
      <c r="F6" s="15">
        <v>7068</v>
      </c>
      <c r="G6" s="28" t="s">
        <v>873</v>
      </c>
      <c r="H6" s="4">
        <v>500</v>
      </c>
      <c r="I6" s="4">
        <v>1500</v>
      </c>
      <c r="J6" s="4">
        <v>3000</v>
      </c>
      <c r="K6" s="4"/>
      <c r="L6" s="4">
        <f>SUM(H6:K6)</f>
        <v>5000</v>
      </c>
      <c r="M6" s="340">
        <v>17500</v>
      </c>
      <c r="N6" s="4"/>
      <c r="O6" s="89" t="s">
        <v>295</v>
      </c>
      <c r="P6" s="15"/>
    </row>
    <row r="7" spans="1:16" x14ac:dyDescent="0.3">
      <c r="A7" s="241"/>
      <c r="B7" s="257"/>
      <c r="C7" s="257"/>
      <c r="D7" s="257"/>
      <c r="E7" s="287"/>
      <c r="F7" s="16"/>
      <c r="G7" s="27"/>
      <c r="H7" s="4"/>
      <c r="I7" s="4"/>
      <c r="J7" s="4"/>
      <c r="K7" s="4"/>
      <c r="L7" s="4">
        <f>SUM(H7:K7)</f>
        <v>0</v>
      </c>
      <c r="M7" s="340"/>
      <c r="N7" s="4"/>
      <c r="O7" s="72"/>
      <c r="P7" s="16"/>
    </row>
    <row r="8" spans="1:16" x14ac:dyDescent="0.3">
      <c r="A8" s="241"/>
      <c r="B8" s="257"/>
      <c r="C8" s="257"/>
      <c r="D8" s="257"/>
      <c r="E8" s="287"/>
      <c r="F8" s="16"/>
      <c r="G8" s="18"/>
      <c r="H8" s="4"/>
      <c r="I8" s="4"/>
      <c r="J8" s="4"/>
      <c r="K8" s="4"/>
      <c r="L8" s="4">
        <f>SUM(H8:K8)</f>
        <v>0</v>
      </c>
      <c r="M8" s="340"/>
      <c r="N8" s="4"/>
      <c r="O8" s="91"/>
      <c r="P8" s="16"/>
    </row>
    <row r="9" spans="1:16" x14ac:dyDescent="0.3">
      <c r="A9" s="241"/>
      <c r="B9" s="257"/>
      <c r="C9" s="257"/>
      <c r="D9" s="257"/>
      <c r="E9" s="287"/>
      <c r="F9" s="16"/>
      <c r="G9" s="16"/>
      <c r="H9" s="4"/>
      <c r="I9" s="4"/>
      <c r="J9" s="4"/>
      <c r="K9" s="4"/>
      <c r="L9" s="4">
        <f>SUM(H9:K9)</f>
        <v>0</v>
      </c>
      <c r="M9" s="340"/>
      <c r="N9" s="4"/>
      <c r="O9" s="72"/>
      <c r="P9" s="16"/>
    </row>
    <row r="10" spans="1:16" ht="16.5" customHeight="1" thickBot="1" x14ac:dyDescent="0.35">
      <c r="A10" s="241"/>
      <c r="B10" s="257"/>
      <c r="C10" s="257"/>
      <c r="D10" s="257"/>
      <c r="E10" s="287"/>
      <c r="F10" s="17"/>
      <c r="G10" s="17"/>
      <c r="H10" s="4"/>
      <c r="I10" s="4"/>
      <c r="J10" s="4"/>
      <c r="K10" s="4"/>
      <c r="L10" s="4">
        <f>SUM(H10:K10)</f>
        <v>0</v>
      </c>
      <c r="M10" s="340"/>
      <c r="N10" s="4"/>
      <c r="O10" s="82"/>
      <c r="P10" s="17"/>
    </row>
    <row r="11" spans="1:16" ht="15.6" thickTop="1" thickBot="1" x14ac:dyDescent="0.35">
      <c r="A11" s="242"/>
      <c r="B11" s="258"/>
      <c r="C11" s="258"/>
      <c r="D11" s="258"/>
      <c r="E11" s="288"/>
      <c r="F11" s="243"/>
      <c r="G11" s="244"/>
      <c r="H11" s="56">
        <f>SUM(H6:H10)</f>
        <v>500</v>
      </c>
      <c r="I11" s="56">
        <f t="shared" ref="I11:L11" si="0">SUM(I6:I10)</f>
        <v>1500</v>
      </c>
      <c r="J11" s="56">
        <f t="shared" si="0"/>
        <v>3000</v>
      </c>
      <c r="K11" s="56">
        <f t="shared" si="0"/>
        <v>0</v>
      </c>
      <c r="L11" s="56">
        <f t="shared" si="0"/>
        <v>5000</v>
      </c>
      <c r="M11" s="56"/>
      <c r="N11" s="56">
        <f>M6-L11</f>
        <v>12500</v>
      </c>
      <c r="O11" s="100"/>
      <c r="P11" s="190">
        <f>SUM(P6:P10)</f>
        <v>0</v>
      </c>
    </row>
    <row r="12" spans="1:16" ht="15.75" customHeight="1" thickTop="1" x14ac:dyDescent="0.3">
      <c r="A12" s="248"/>
      <c r="B12" s="321"/>
      <c r="C12" s="256"/>
      <c r="D12" s="257"/>
      <c r="E12" s="371"/>
      <c r="F12" s="3"/>
      <c r="G12" s="7"/>
      <c r="H12" s="4"/>
      <c r="I12" s="4"/>
      <c r="J12" s="4"/>
      <c r="K12" s="4"/>
      <c r="L12" s="4">
        <f>SUM(H12:K12)</f>
        <v>0</v>
      </c>
      <c r="M12" s="340"/>
      <c r="N12" s="4"/>
      <c r="O12" s="89"/>
      <c r="P12" s="3"/>
    </row>
    <row r="13" spans="1:16" x14ac:dyDescent="0.3">
      <c r="A13" s="241"/>
      <c r="B13" s="267"/>
      <c r="C13" s="257"/>
      <c r="D13" s="257"/>
      <c r="E13" s="257"/>
      <c r="F13" s="16"/>
      <c r="G13" s="4"/>
      <c r="H13" s="4"/>
      <c r="I13" s="4"/>
      <c r="J13" s="4"/>
      <c r="K13" s="4"/>
      <c r="L13" s="4">
        <f>SUM(H13:K13)</f>
        <v>0</v>
      </c>
      <c r="M13" s="340"/>
      <c r="N13" s="4"/>
      <c r="O13" s="72"/>
      <c r="P13" s="4"/>
    </row>
    <row r="14" spans="1:16" x14ac:dyDescent="0.3">
      <c r="A14" s="241"/>
      <c r="B14" s="267"/>
      <c r="C14" s="257"/>
      <c r="D14" s="257"/>
      <c r="E14" s="257"/>
      <c r="F14" s="4"/>
      <c r="G14" s="4"/>
      <c r="H14" s="4"/>
      <c r="I14" s="4"/>
      <c r="J14" s="4"/>
      <c r="K14" s="4"/>
      <c r="L14" s="4">
        <f>SUM(H14:K14)</f>
        <v>0</v>
      </c>
      <c r="M14" s="340"/>
      <c r="N14" s="4"/>
      <c r="O14" s="86"/>
      <c r="P14" s="4"/>
    </row>
    <row r="15" spans="1:16" ht="16.5" customHeight="1" x14ac:dyDescent="0.3">
      <c r="A15" s="241"/>
      <c r="B15" s="267"/>
      <c r="C15" s="257"/>
      <c r="D15" s="257"/>
      <c r="E15" s="257"/>
      <c r="F15" s="4"/>
      <c r="G15" s="4"/>
      <c r="H15" s="4"/>
      <c r="I15" s="4"/>
      <c r="J15" s="4"/>
      <c r="K15" s="4"/>
      <c r="L15" s="4">
        <f>SUM(H15:K15)</f>
        <v>0</v>
      </c>
      <c r="M15" s="340"/>
      <c r="N15" s="4"/>
      <c r="O15" s="71"/>
      <c r="P15" s="4"/>
    </row>
    <row r="16" spans="1:16" ht="15" thickBot="1" x14ac:dyDescent="0.35">
      <c r="A16" s="241"/>
      <c r="B16" s="267"/>
      <c r="C16" s="257"/>
      <c r="D16" s="257"/>
      <c r="E16" s="257"/>
      <c r="F16" s="6"/>
      <c r="G16" s="6"/>
      <c r="H16" s="4"/>
      <c r="I16" s="4"/>
      <c r="J16" s="4"/>
      <c r="K16" s="4"/>
      <c r="L16" s="4">
        <f>SUM(H16:K16)</f>
        <v>0</v>
      </c>
      <c r="M16" s="340"/>
      <c r="N16" s="4"/>
      <c r="O16" s="78"/>
      <c r="P16" s="6"/>
    </row>
    <row r="17" spans="1:16" ht="15.6" thickTop="1" thickBot="1" x14ac:dyDescent="0.35">
      <c r="A17" s="242"/>
      <c r="B17" s="268"/>
      <c r="C17" s="258"/>
      <c r="D17" s="258"/>
      <c r="E17" s="258"/>
      <c r="F17" s="243"/>
      <c r="G17" s="244"/>
      <c r="H17" s="56">
        <f>SUM(H12:H16)</f>
        <v>0</v>
      </c>
      <c r="I17" s="56">
        <f t="shared" ref="I17:L17" si="1">SUM(I12:I16)</f>
        <v>0</v>
      </c>
      <c r="J17" s="56">
        <f t="shared" si="1"/>
        <v>0</v>
      </c>
      <c r="K17" s="56">
        <f t="shared" si="1"/>
        <v>0</v>
      </c>
      <c r="L17" s="56">
        <f t="shared" si="1"/>
        <v>0</v>
      </c>
      <c r="M17" s="56"/>
      <c r="N17" s="56">
        <f>M12-L17</f>
        <v>0</v>
      </c>
      <c r="O17" s="100"/>
      <c r="P17" s="8"/>
    </row>
    <row r="18" spans="1:16" ht="15.75" customHeight="1" thickTop="1" x14ac:dyDescent="0.3">
      <c r="A18" s="248"/>
      <c r="B18" s="321"/>
      <c r="C18" s="256"/>
      <c r="D18" s="257"/>
      <c r="E18" s="259"/>
      <c r="F18" s="3"/>
      <c r="G18" s="29"/>
      <c r="H18" s="4"/>
      <c r="I18" s="4"/>
      <c r="J18" s="4"/>
      <c r="K18" s="4"/>
      <c r="L18" s="4">
        <f>SUM(H18:K18)</f>
        <v>0</v>
      </c>
      <c r="M18" s="340"/>
      <c r="N18" s="4"/>
      <c r="O18" s="86"/>
      <c r="P18" s="3"/>
    </row>
    <row r="19" spans="1:16" x14ac:dyDescent="0.3">
      <c r="A19" s="241"/>
      <c r="B19" s="257"/>
      <c r="C19" s="257"/>
      <c r="D19" s="257"/>
      <c r="E19" s="257"/>
      <c r="F19" s="16"/>
      <c r="G19" s="4"/>
      <c r="H19" s="4"/>
      <c r="I19" s="4"/>
      <c r="J19" s="4"/>
      <c r="K19" s="4"/>
      <c r="L19" s="4">
        <f>SUM(H19:K19)</f>
        <v>0</v>
      </c>
      <c r="M19" s="340"/>
      <c r="N19" s="4"/>
      <c r="O19" s="71"/>
      <c r="P19" s="4"/>
    </row>
    <row r="20" spans="1:16" ht="15.75" customHeight="1" x14ac:dyDescent="0.3">
      <c r="A20" s="241"/>
      <c r="B20" s="257"/>
      <c r="C20" s="257"/>
      <c r="D20" s="257"/>
      <c r="E20" s="257"/>
      <c r="F20" s="4"/>
      <c r="G20" s="4"/>
      <c r="H20" s="4"/>
      <c r="I20" s="4"/>
      <c r="J20" s="4"/>
      <c r="K20" s="4"/>
      <c r="L20" s="4">
        <f>SUM(H20:K20)</f>
        <v>0</v>
      </c>
      <c r="M20" s="340"/>
      <c r="N20" s="4"/>
      <c r="O20" s="78"/>
      <c r="P20" s="4"/>
    </row>
    <row r="21" spans="1:16" x14ac:dyDescent="0.3">
      <c r="A21" s="241"/>
      <c r="B21" s="257"/>
      <c r="C21" s="257"/>
      <c r="D21" s="257"/>
      <c r="E21" s="257"/>
      <c r="F21" s="4"/>
      <c r="G21" s="4"/>
      <c r="H21" s="4"/>
      <c r="I21" s="4"/>
      <c r="J21" s="4"/>
      <c r="K21" s="4"/>
      <c r="L21" s="4">
        <f>SUM(H21:K21)</f>
        <v>0</v>
      </c>
      <c r="M21" s="340"/>
      <c r="N21" s="4"/>
      <c r="O21" s="71"/>
      <c r="P21" s="4"/>
    </row>
    <row r="22" spans="1:16" ht="15" thickBot="1" x14ac:dyDescent="0.35">
      <c r="A22" s="241"/>
      <c r="B22" s="257"/>
      <c r="C22" s="257"/>
      <c r="D22" s="257"/>
      <c r="E22" s="257"/>
      <c r="F22" s="6"/>
      <c r="G22" s="6"/>
      <c r="H22" s="4"/>
      <c r="I22" s="4"/>
      <c r="J22" s="4"/>
      <c r="K22" s="4"/>
      <c r="L22" s="4">
        <f>SUM(H22:K22)</f>
        <v>0</v>
      </c>
      <c r="M22" s="340"/>
      <c r="N22" s="4"/>
      <c r="O22" s="87"/>
      <c r="P22" s="6"/>
    </row>
    <row r="23" spans="1:16" ht="15.6" thickTop="1" thickBot="1" x14ac:dyDescent="0.35">
      <c r="A23" s="242"/>
      <c r="B23" s="258"/>
      <c r="C23" s="258"/>
      <c r="D23" s="258"/>
      <c r="E23" s="258"/>
      <c r="F23" s="243"/>
      <c r="G23" s="244"/>
      <c r="H23" s="56">
        <f>SUM(H18:H22)</f>
        <v>0</v>
      </c>
      <c r="I23" s="56">
        <f t="shared" ref="I23:L23" si="2">SUM(I18:I22)</f>
        <v>0</v>
      </c>
      <c r="J23" s="56">
        <f t="shared" si="2"/>
        <v>0</v>
      </c>
      <c r="K23" s="56">
        <f t="shared" si="2"/>
        <v>0</v>
      </c>
      <c r="L23" s="56">
        <f t="shared" si="2"/>
        <v>0</v>
      </c>
      <c r="M23" s="56"/>
      <c r="N23" s="56">
        <f>M18-L23</f>
        <v>0</v>
      </c>
      <c r="O23" s="100"/>
      <c r="P23" s="8"/>
    </row>
    <row r="24" spans="1:16" ht="15.75" customHeight="1" thickTop="1" x14ac:dyDescent="0.3">
      <c r="A24" s="282"/>
      <c r="B24" s="328"/>
      <c r="C24" s="286"/>
      <c r="D24" s="257"/>
      <c r="E24" s="408"/>
      <c r="F24" s="16"/>
      <c r="G24" s="18"/>
      <c r="H24" s="4"/>
      <c r="I24" s="4"/>
      <c r="J24" s="4"/>
      <c r="K24" s="4"/>
      <c r="L24" s="4">
        <f>SUM(H24:K24)</f>
        <v>0</v>
      </c>
      <c r="M24" s="340"/>
      <c r="N24" s="4"/>
      <c r="O24" s="86"/>
      <c r="P24" s="15"/>
    </row>
    <row r="25" spans="1:16" ht="16.5" customHeight="1" x14ac:dyDescent="0.3">
      <c r="A25" s="246"/>
      <c r="B25" s="287"/>
      <c r="C25" s="287"/>
      <c r="D25" s="257"/>
      <c r="E25" s="246"/>
      <c r="F25" s="16"/>
      <c r="G25" s="27"/>
      <c r="H25" s="4"/>
      <c r="I25" s="4"/>
      <c r="J25" s="4"/>
      <c r="K25" s="4"/>
      <c r="L25" s="4">
        <f>SUM(H25:K25)</f>
        <v>0</v>
      </c>
      <c r="M25" s="340"/>
      <c r="N25" s="4"/>
      <c r="O25" s="71"/>
      <c r="P25" s="16"/>
    </row>
    <row r="26" spans="1:16" x14ac:dyDescent="0.3">
      <c r="A26" s="246"/>
      <c r="B26" s="287"/>
      <c r="C26" s="287"/>
      <c r="D26" s="257"/>
      <c r="E26" s="246"/>
      <c r="F26" s="16"/>
      <c r="G26" s="16"/>
      <c r="H26" s="4"/>
      <c r="I26" s="4"/>
      <c r="J26" s="4"/>
      <c r="K26" s="4"/>
      <c r="L26" s="4">
        <f>SUM(H26:K26)</f>
        <v>0</v>
      </c>
      <c r="M26" s="340"/>
      <c r="N26" s="4"/>
      <c r="O26" s="78"/>
      <c r="P26" s="16"/>
    </row>
    <row r="27" spans="1:16" x14ac:dyDescent="0.3">
      <c r="A27" s="246"/>
      <c r="B27" s="287"/>
      <c r="C27" s="287"/>
      <c r="D27" s="257"/>
      <c r="E27" s="246"/>
      <c r="F27" s="16"/>
      <c r="G27" s="16"/>
      <c r="H27" s="4"/>
      <c r="I27" s="4"/>
      <c r="J27" s="4"/>
      <c r="K27" s="4"/>
      <c r="L27" s="4">
        <f>SUM(H27:K27)</f>
        <v>0</v>
      </c>
      <c r="M27" s="340"/>
      <c r="N27" s="4"/>
      <c r="O27" s="72"/>
      <c r="P27" s="16"/>
    </row>
    <row r="28" spans="1:16" ht="15" thickBot="1" x14ac:dyDescent="0.35">
      <c r="A28" s="246"/>
      <c r="B28" s="287"/>
      <c r="C28" s="287"/>
      <c r="D28" s="257"/>
      <c r="E28" s="246"/>
      <c r="F28" s="17"/>
      <c r="G28" s="17"/>
      <c r="H28" s="4"/>
      <c r="I28" s="4"/>
      <c r="J28" s="4"/>
      <c r="K28" s="4"/>
      <c r="L28" s="4">
        <f>SUM(H28:K28)</f>
        <v>0</v>
      </c>
      <c r="M28" s="340"/>
      <c r="N28" s="4"/>
      <c r="O28" s="90"/>
      <c r="P28" s="17"/>
    </row>
    <row r="29" spans="1:16" ht="15.6" thickTop="1" thickBot="1" x14ac:dyDescent="0.35">
      <c r="A29" s="247"/>
      <c r="B29" s="288"/>
      <c r="C29" s="288"/>
      <c r="D29" s="258"/>
      <c r="E29" s="247"/>
      <c r="F29" s="243"/>
      <c r="G29" s="244"/>
      <c r="H29" s="56">
        <f>SUM(H24:H28)</f>
        <v>0</v>
      </c>
      <c r="I29" s="56">
        <f t="shared" ref="I29:L29" si="3">SUM(I24:I28)</f>
        <v>0</v>
      </c>
      <c r="J29" s="56">
        <f t="shared" si="3"/>
        <v>0</v>
      </c>
      <c r="K29" s="56">
        <f t="shared" si="3"/>
        <v>0</v>
      </c>
      <c r="L29" s="56">
        <f t="shared" si="3"/>
        <v>0</v>
      </c>
      <c r="M29" s="56"/>
      <c r="N29" s="56">
        <f>M24-L29</f>
        <v>0</v>
      </c>
      <c r="O29" s="100"/>
      <c r="P29" s="8"/>
    </row>
    <row r="30" spans="1:16" ht="16.5" customHeight="1" thickTop="1" x14ac:dyDescent="0.3">
      <c r="A30" s="248"/>
      <c r="B30" s="321"/>
      <c r="C30" s="256"/>
      <c r="D30" s="257"/>
      <c r="E30" s="409"/>
      <c r="F30" s="4"/>
      <c r="G30" s="5"/>
      <c r="H30" s="4"/>
      <c r="I30" s="4"/>
      <c r="J30" s="4"/>
      <c r="K30" s="4"/>
      <c r="L30" s="4">
        <f>SUM(H30:K30)</f>
        <v>0</v>
      </c>
      <c r="M30" s="340"/>
      <c r="N30" s="4"/>
      <c r="O30" s="86"/>
      <c r="P30" s="3"/>
    </row>
    <row r="31" spans="1:16" x14ac:dyDescent="0.3">
      <c r="A31" s="241"/>
      <c r="B31" s="257"/>
      <c r="C31" s="257"/>
      <c r="D31" s="257"/>
      <c r="E31" s="241"/>
      <c r="F31" s="4"/>
      <c r="G31" s="4"/>
      <c r="H31" s="4"/>
      <c r="I31" s="4"/>
      <c r="J31" s="4"/>
      <c r="K31" s="4"/>
      <c r="L31" s="4">
        <f>SUM(H31:K31)</f>
        <v>0</v>
      </c>
      <c r="M31" s="340"/>
      <c r="N31" s="4"/>
      <c r="O31" s="71"/>
      <c r="P31" s="4"/>
    </row>
    <row r="32" spans="1:16" x14ac:dyDescent="0.3">
      <c r="A32" s="241"/>
      <c r="B32" s="257"/>
      <c r="C32" s="257"/>
      <c r="D32" s="257"/>
      <c r="E32" s="241"/>
      <c r="F32" s="4"/>
      <c r="G32" s="4"/>
      <c r="H32" s="4"/>
      <c r="I32" s="4"/>
      <c r="J32" s="4"/>
      <c r="K32" s="4"/>
      <c r="L32" s="4">
        <f>SUM(H32:K32)</f>
        <v>0</v>
      </c>
      <c r="M32" s="340"/>
      <c r="N32" s="4"/>
      <c r="O32" s="78"/>
      <c r="P32" s="4"/>
    </row>
    <row r="33" spans="1:16" x14ac:dyDescent="0.3">
      <c r="A33" s="241"/>
      <c r="B33" s="257"/>
      <c r="C33" s="257"/>
      <c r="D33" s="257"/>
      <c r="E33" s="241"/>
      <c r="F33" s="4"/>
      <c r="G33" s="4"/>
      <c r="H33" s="4"/>
      <c r="I33" s="4"/>
      <c r="J33" s="4"/>
      <c r="K33" s="4"/>
      <c r="L33" s="4">
        <f>SUM(H33:K33)</f>
        <v>0</v>
      </c>
      <c r="M33" s="340"/>
      <c r="N33" s="4"/>
      <c r="O33" s="71"/>
      <c r="P33" s="4"/>
    </row>
    <row r="34" spans="1:16" ht="15" thickBot="1" x14ac:dyDescent="0.35">
      <c r="A34" s="241"/>
      <c r="B34" s="257"/>
      <c r="C34" s="257"/>
      <c r="D34" s="257"/>
      <c r="E34" s="241"/>
      <c r="F34" s="6"/>
      <c r="G34" s="6"/>
      <c r="H34" s="4"/>
      <c r="I34" s="4"/>
      <c r="J34" s="4"/>
      <c r="K34" s="4"/>
      <c r="L34" s="4">
        <f>SUM(H34:K34)</f>
        <v>0</v>
      </c>
      <c r="M34" s="340"/>
      <c r="N34" s="4"/>
      <c r="O34" s="87"/>
      <c r="P34" s="6"/>
    </row>
    <row r="35" spans="1:16" ht="16.5" customHeight="1" thickTop="1" thickBot="1" x14ac:dyDescent="0.35">
      <c r="A35" s="242"/>
      <c r="B35" s="258"/>
      <c r="C35" s="258"/>
      <c r="D35" s="258"/>
      <c r="E35" s="242"/>
      <c r="F35" s="243"/>
      <c r="G35" s="244"/>
      <c r="H35" s="56">
        <f>SUM(H30:H34)</f>
        <v>0</v>
      </c>
      <c r="I35" s="56">
        <f t="shared" ref="I35:L35" si="4">SUM(I30:I34)</f>
        <v>0</v>
      </c>
      <c r="J35" s="56">
        <f t="shared" si="4"/>
        <v>0</v>
      </c>
      <c r="K35" s="56">
        <f t="shared" si="4"/>
        <v>0</v>
      </c>
      <c r="L35" s="56">
        <f t="shared" si="4"/>
        <v>0</v>
      </c>
      <c r="M35" s="56"/>
      <c r="N35" s="56">
        <f>M30-L35</f>
        <v>0</v>
      </c>
      <c r="O35" s="88"/>
      <c r="P35" s="8"/>
    </row>
    <row r="36" spans="1:16" ht="21.75" customHeight="1" thickTop="1" x14ac:dyDescent="0.3">
      <c r="A36" s="372" t="s">
        <v>15</v>
      </c>
      <c r="B36" s="373"/>
      <c r="C36" s="373"/>
      <c r="D36" s="373"/>
      <c r="E36" s="373"/>
      <c r="F36" s="373"/>
      <c r="G36" s="374"/>
      <c r="H36" s="2">
        <f t="shared" ref="H36:L36" si="5">+H35+H29+H23+H17+H11</f>
        <v>500</v>
      </c>
      <c r="I36" s="2">
        <f t="shared" si="5"/>
        <v>1500</v>
      </c>
      <c r="J36" s="2">
        <f t="shared" si="5"/>
        <v>3000</v>
      </c>
      <c r="K36" s="2">
        <f t="shared" si="5"/>
        <v>0</v>
      </c>
      <c r="L36" s="2">
        <f t="shared" si="5"/>
        <v>5000</v>
      </c>
      <c r="M36" s="2">
        <f>+M30+M24+M18+M12+M6</f>
        <v>17500</v>
      </c>
      <c r="N36" s="2">
        <f>+N35+N29+N23+N17+N11</f>
        <v>12500</v>
      </c>
      <c r="O36" s="83"/>
      <c r="P36" s="2">
        <f>+P35+P29+P23+P17+P11</f>
        <v>0</v>
      </c>
    </row>
    <row r="38" spans="1:16" ht="15.6" x14ac:dyDescent="0.3">
      <c r="A38" s="1" t="s">
        <v>16</v>
      </c>
    </row>
  </sheetData>
  <mergeCells count="40">
    <mergeCell ref="A36:G36"/>
    <mergeCell ref="M30:M34"/>
    <mergeCell ref="F35:G35"/>
    <mergeCell ref="A24:A29"/>
    <mergeCell ref="B24:B29"/>
    <mergeCell ref="C24:C29"/>
    <mergeCell ref="D24:D29"/>
    <mergeCell ref="E24:E29"/>
    <mergeCell ref="M24:M28"/>
    <mergeCell ref="F29:G29"/>
    <mergeCell ref="A30:A35"/>
    <mergeCell ref="B30:B35"/>
    <mergeCell ref="C30:C35"/>
    <mergeCell ref="D30:D35"/>
    <mergeCell ref="E30:E35"/>
    <mergeCell ref="A18:A23"/>
    <mergeCell ref="B18:B23"/>
    <mergeCell ref="C18:C23"/>
    <mergeCell ref="D18:D23"/>
    <mergeCell ref="E18:E23"/>
    <mergeCell ref="A12:A17"/>
    <mergeCell ref="B12:B17"/>
    <mergeCell ref="C12:C17"/>
    <mergeCell ref="D12:D17"/>
    <mergeCell ref="E12:E17"/>
    <mergeCell ref="A1:O1"/>
    <mergeCell ref="A2:O2"/>
    <mergeCell ref="A3:O3"/>
    <mergeCell ref="A4:O4"/>
    <mergeCell ref="A6:A11"/>
    <mergeCell ref="B6:B11"/>
    <mergeCell ref="C6:C11"/>
    <mergeCell ref="D6:D11"/>
    <mergeCell ref="E6:E11"/>
    <mergeCell ref="M18:M22"/>
    <mergeCell ref="F23:G23"/>
    <mergeCell ref="M6:M10"/>
    <mergeCell ref="F11:G11"/>
    <mergeCell ref="M12:M16"/>
    <mergeCell ref="F17:G17"/>
  </mergeCells>
  <pageMargins left="0.15748031496062992" right="0" top="0.19685039370078741" bottom="0.15748031496062992" header="0.23622047244094491" footer="0.19685039370078741"/>
  <pageSetup paperSize="9" scale="8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16"/>
  <sheetViews>
    <sheetView workbookViewId="0">
      <pane xSplit="5" ySplit="5" topLeftCell="F99" activePane="bottomRight" state="frozen"/>
      <selection pane="topRight" activeCell="F1" sqref="F1"/>
      <selection pane="bottomLeft" activeCell="A6" sqref="A6"/>
      <selection pane="bottomRight" activeCell="M110" sqref="M110"/>
    </sheetView>
  </sheetViews>
  <sheetFormatPr defaultRowHeight="14.4" x14ac:dyDescent="0.3"/>
  <cols>
    <col min="1" max="1" width="3.5546875" customWidth="1"/>
    <col min="2" max="2" width="28" customWidth="1"/>
    <col min="3" max="3" width="6.5546875" customWidth="1"/>
    <col min="4" max="4" width="7.44140625" customWidth="1"/>
    <col min="5" max="5" width="10.5546875" customWidth="1"/>
    <col min="6" max="6" width="7.5546875" customWidth="1"/>
    <col min="7" max="7" width="11" customWidth="1"/>
    <col min="8" max="8" width="9.109375" customWidth="1"/>
    <col min="9" max="9" width="10.6640625" customWidth="1"/>
    <col min="10" max="10" width="10" customWidth="1"/>
    <col min="11" max="11" width="7.5546875" customWidth="1"/>
    <col min="12" max="12" width="10.109375" customWidth="1"/>
    <col min="13" max="13" width="11.109375" customWidth="1"/>
    <col min="14" max="14" width="12.109375" customWidth="1"/>
    <col min="15" max="15" width="14.33203125" style="84" customWidth="1"/>
    <col min="16" max="16" width="8.5546875" customWidth="1"/>
  </cols>
  <sheetData>
    <row r="1" spans="1:16" ht="17.25" customHeight="1" x14ac:dyDescent="0.3">
      <c r="A1" s="414" t="s">
        <v>10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</row>
    <row r="2" spans="1:16" ht="25.5" customHeight="1" x14ac:dyDescent="0.45">
      <c r="A2" s="406" t="s">
        <v>11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</row>
    <row r="3" spans="1:16" ht="15" customHeight="1" x14ac:dyDescent="0.3">
      <c r="A3" s="415" t="s">
        <v>12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</row>
    <row r="4" spans="1:16" ht="22.5" customHeight="1" x14ac:dyDescent="0.45">
      <c r="A4" s="407" t="s">
        <v>441</v>
      </c>
      <c r="B4" s="407"/>
      <c r="C4" s="407"/>
      <c r="D4" s="407"/>
      <c r="E4" s="407"/>
      <c r="F4" s="407"/>
      <c r="G4" s="407"/>
      <c r="H4" s="407"/>
      <c r="I4" s="407"/>
      <c r="J4" s="407"/>
      <c r="K4" s="407"/>
      <c r="L4" s="407"/>
      <c r="M4" s="407"/>
      <c r="N4" s="407"/>
      <c r="O4" s="407"/>
    </row>
    <row r="5" spans="1:16" ht="50.25" customHeight="1" thickBot="1" x14ac:dyDescent="0.35">
      <c r="A5" s="74" t="s">
        <v>0</v>
      </c>
      <c r="B5" s="75" t="s">
        <v>13</v>
      </c>
      <c r="C5" s="61" t="s">
        <v>14</v>
      </c>
      <c r="D5" s="76" t="s">
        <v>1</v>
      </c>
      <c r="E5" s="61" t="s">
        <v>2</v>
      </c>
      <c r="F5" s="61" t="s">
        <v>8</v>
      </c>
      <c r="G5" s="61" t="s">
        <v>9</v>
      </c>
      <c r="H5" s="61" t="s">
        <v>46</v>
      </c>
      <c r="I5" s="61" t="s">
        <v>3</v>
      </c>
      <c r="J5" s="61" t="s">
        <v>4</v>
      </c>
      <c r="K5" s="61" t="s">
        <v>5</v>
      </c>
      <c r="L5" s="61" t="s">
        <v>15</v>
      </c>
      <c r="M5" s="61" t="s">
        <v>49</v>
      </c>
      <c r="N5" s="61" t="s">
        <v>6</v>
      </c>
      <c r="O5" s="102" t="s">
        <v>7</v>
      </c>
      <c r="P5" s="61" t="s">
        <v>44</v>
      </c>
    </row>
    <row r="6" spans="1:16" ht="15.75" customHeight="1" thickTop="1" x14ac:dyDescent="0.3">
      <c r="A6" s="412">
        <v>1</v>
      </c>
      <c r="B6" s="323" t="s">
        <v>330</v>
      </c>
      <c r="C6" s="326" t="s">
        <v>114</v>
      </c>
      <c r="D6" s="326" t="s">
        <v>331</v>
      </c>
      <c r="E6" s="416" t="s">
        <v>332</v>
      </c>
      <c r="F6" s="182">
        <v>6735</v>
      </c>
      <c r="G6" s="183" t="s">
        <v>333</v>
      </c>
      <c r="H6" s="46">
        <v>500</v>
      </c>
      <c r="I6" s="46">
        <v>3000</v>
      </c>
      <c r="J6" s="46">
        <v>3000</v>
      </c>
      <c r="K6" s="46"/>
      <c r="L6" s="46">
        <f>SUM(H6:K6)</f>
        <v>6500</v>
      </c>
      <c r="M6" s="344">
        <v>14500</v>
      </c>
      <c r="N6" s="46"/>
      <c r="O6" s="184"/>
      <c r="P6" s="182">
        <v>1500</v>
      </c>
    </row>
    <row r="7" spans="1:16" x14ac:dyDescent="0.3">
      <c r="A7" s="412"/>
      <c r="B7" s="323"/>
      <c r="C7" s="326"/>
      <c r="D7" s="326"/>
      <c r="E7" s="326"/>
      <c r="F7" s="46">
        <v>6936</v>
      </c>
      <c r="G7" s="46" t="s">
        <v>529</v>
      </c>
      <c r="H7" s="46"/>
      <c r="I7" s="46">
        <v>4000</v>
      </c>
      <c r="J7" s="46"/>
      <c r="K7" s="46"/>
      <c r="L7" s="46">
        <f>SUM(H7:K7)</f>
        <v>4000</v>
      </c>
      <c r="M7" s="344"/>
      <c r="N7" s="46"/>
      <c r="O7" s="185"/>
      <c r="P7" s="46"/>
    </row>
    <row r="8" spans="1:16" x14ac:dyDescent="0.3">
      <c r="A8" s="412"/>
      <c r="B8" s="323"/>
      <c r="C8" s="326"/>
      <c r="D8" s="326"/>
      <c r="E8" s="326"/>
      <c r="F8" s="107"/>
      <c r="G8" s="46"/>
      <c r="H8" s="46"/>
      <c r="I8" s="46"/>
      <c r="J8" s="46"/>
      <c r="K8" s="46"/>
      <c r="L8" s="46">
        <f>SUM(H8:K8)</f>
        <v>0</v>
      </c>
      <c r="M8" s="344"/>
      <c r="N8" s="46"/>
      <c r="O8" s="186"/>
      <c r="P8" s="46"/>
    </row>
    <row r="9" spans="1:16" x14ac:dyDescent="0.3">
      <c r="A9" s="412"/>
      <c r="B9" s="323"/>
      <c r="C9" s="326"/>
      <c r="D9" s="326"/>
      <c r="E9" s="326"/>
      <c r="F9" s="46"/>
      <c r="G9" s="46"/>
      <c r="H9" s="46"/>
      <c r="I9" s="46"/>
      <c r="J9" s="46"/>
      <c r="K9" s="46"/>
      <c r="L9" s="46">
        <f>SUM(H9:K9)</f>
        <v>0</v>
      </c>
      <c r="M9" s="344"/>
      <c r="N9" s="46"/>
      <c r="O9" s="185"/>
      <c r="P9" s="46"/>
    </row>
    <row r="10" spans="1:16" ht="16.5" customHeight="1" thickBot="1" x14ac:dyDescent="0.35">
      <c r="A10" s="412"/>
      <c r="B10" s="323"/>
      <c r="C10" s="326"/>
      <c r="D10" s="326"/>
      <c r="E10" s="326"/>
      <c r="F10" s="187"/>
      <c r="G10" s="187"/>
      <c r="H10" s="46"/>
      <c r="I10" s="46"/>
      <c r="J10" s="46"/>
      <c r="K10" s="46"/>
      <c r="L10" s="46">
        <f>SUM(H10:K10)</f>
        <v>0</v>
      </c>
      <c r="M10" s="344"/>
      <c r="N10" s="46"/>
      <c r="O10" s="188"/>
      <c r="P10" s="187"/>
    </row>
    <row r="11" spans="1:16" ht="15.6" thickTop="1" thickBot="1" x14ac:dyDescent="0.35">
      <c r="A11" s="413"/>
      <c r="B11" s="324"/>
      <c r="C11" s="327"/>
      <c r="D11" s="327"/>
      <c r="E11" s="327"/>
      <c r="F11" s="417"/>
      <c r="G11" s="418"/>
      <c r="H11" s="109">
        <f>SUM(H6:H10)</f>
        <v>500</v>
      </c>
      <c r="I11" s="109">
        <f t="shared" ref="I11:L11" si="0">SUM(I6:I10)</f>
        <v>7000</v>
      </c>
      <c r="J11" s="109">
        <f t="shared" si="0"/>
        <v>3000</v>
      </c>
      <c r="K11" s="109">
        <f t="shared" si="0"/>
        <v>0</v>
      </c>
      <c r="L11" s="109">
        <f t="shared" si="0"/>
        <v>10500</v>
      </c>
      <c r="M11" s="109"/>
      <c r="N11" s="109">
        <f>M6-L11</f>
        <v>4000</v>
      </c>
      <c r="O11" s="189"/>
      <c r="P11" s="190">
        <f>SUM(P6:P10)</f>
        <v>1500</v>
      </c>
    </row>
    <row r="12" spans="1:16" ht="15.75" customHeight="1" thickTop="1" x14ac:dyDescent="0.3">
      <c r="A12" s="248">
        <v>2</v>
      </c>
      <c r="B12" s="253" t="s">
        <v>538</v>
      </c>
      <c r="C12" s="256" t="s">
        <v>119</v>
      </c>
      <c r="D12" s="257" t="s">
        <v>540</v>
      </c>
      <c r="E12" s="371" t="s">
        <v>541</v>
      </c>
      <c r="F12" s="3">
        <v>6804</v>
      </c>
      <c r="G12" s="7" t="s">
        <v>403</v>
      </c>
      <c r="H12" s="4">
        <v>500</v>
      </c>
      <c r="I12" s="4">
        <v>3000</v>
      </c>
      <c r="J12" s="4"/>
      <c r="K12" s="4"/>
      <c r="L12" s="4">
        <f>SUM(H12:K12)</f>
        <v>3500</v>
      </c>
      <c r="M12" s="340">
        <v>14500</v>
      </c>
      <c r="N12" s="4"/>
      <c r="O12" s="89" t="s">
        <v>240</v>
      </c>
      <c r="P12" s="3">
        <v>1500</v>
      </c>
    </row>
    <row r="13" spans="1:16" x14ac:dyDescent="0.3">
      <c r="A13" s="241"/>
      <c r="B13" s="254"/>
      <c r="C13" s="257"/>
      <c r="D13" s="257"/>
      <c r="E13" s="257"/>
      <c r="F13" s="16">
        <v>7012</v>
      </c>
      <c r="G13" s="4" t="s">
        <v>828</v>
      </c>
      <c r="H13" s="4"/>
      <c r="I13" s="4">
        <v>6500</v>
      </c>
      <c r="J13" s="4">
        <v>3000</v>
      </c>
      <c r="K13" s="4"/>
      <c r="L13" s="4">
        <f>SUM(H13:K13)</f>
        <v>9500</v>
      </c>
      <c r="M13" s="340"/>
      <c r="N13" s="4"/>
      <c r="O13" s="72"/>
      <c r="P13" s="4"/>
    </row>
    <row r="14" spans="1:16" x14ac:dyDescent="0.3">
      <c r="A14" s="241"/>
      <c r="B14" s="254"/>
      <c r="C14" s="257"/>
      <c r="D14" s="257"/>
      <c r="E14" s="257"/>
      <c r="F14" s="4"/>
      <c r="G14" s="4"/>
      <c r="H14" s="4"/>
      <c r="I14" s="4"/>
      <c r="J14" s="4"/>
      <c r="K14" s="4"/>
      <c r="L14" s="4">
        <f>SUM(H14:K14)</f>
        <v>0</v>
      </c>
      <c r="M14" s="340"/>
      <c r="N14" s="4"/>
      <c r="O14" s="86"/>
      <c r="P14" s="4"/>
    </row>
    <row r="15" spans="1:16" ht="16.5" customHeight="1" x14ac:dyDescent="0.3">
      <c r="A15" s="241"/>
      <c r="B15" s="254"/>
      <c r="C15" s="257"/>
      <c r="D15" s="257"/>
      <c r="E15" s="257"/>
      <c r="F15" s="4"/>
      <c r="G15" s="4"/>
      <c r="H15" s="4"/>
      <c r="I15" s="4"/>
      <c r="J15" s="4"/>
      <c r="K15" s="4"/>
      <c r="L15" s="4">
        <f>SUM(H15:K15)</f>
        <v>0</v>
      </c>
      <c r="M15" s="340"/>
      <c r="N15" s="4"/>
      <c r="O15" s="71"/>
      <c r="P15" s="4"/>
    </row>
    <row r="16" spans="1:16" ht="15" thickBot="1" x14ac:dyDescent="0.35">
      <c r="A16" s="241"/>
      <c r="B16" s="254"/>
      <c r="C16" s="257"/>
      <c r="D16" s="257"/>
      <c r="E16" s="257"/>
      <c r="F16" s="6"/>
      <c r="G16" s="6"/>
      <c r="H16" s="4"/>
      <c r="I16" s="4"/>
      <c r="J16" s="4"/>
      <c r="K16" s="4"/>
      <c r="L16" s="4">
        <f>SUM(H16:K16)</f>
        <v>0</v>
      </c>
      <c r="M16" s="340"/>
      <c r="N16" s="4"/>
      <c r="O16" s="78"/>
      <c r="P16" s="6"/>
    </row>
    <row r="17" spans="1:16" ht="15.6" thickTop="1" thickBot="1" x14ac:dyDescent="0.35">
      <c r="A17" s="242"/>
      <c r="B17" s="255"/>
      <c r="C17" s="258"/>
      <c r="D17" s="258"/>
      <c r="E17" s="258"/>
      <c r="F17" s="243"/>
      <c r="G17" s="244"/>
      <c r="H17" s="56">
        <f>SUM(H12:H16)</f>
        <v>500</v>
      </c>
      <c r="I17" s="56">
        <f t="shared" ref="I17:L17" si="1">SUM(I12:I16)</f>
        <v>9500</v>
      </c>
      <c r="J17" s="56">
        <f t="shared" si="1"/>
        <v>3000</v>
      </c>
      <c r="K17" s="56">
        <f t="shared" si="1"/>
        <v>0</v>
      </c>
      <c r="L17" s="56">
        <f t="shared" si="1"/>
        <v>13000</v>
      </c>
      <c r="M17" s="56"/>
      <c r="N17" s="56">
        <f>M12-L17</f>
        <v>1500</v>
      </c>
      <c r="O17" s="100"/>
      <c r="P17" s="190">
        <f>SUM(P12:P16)</f>
        <v>1500</v>
      </c>
    </row>
    <row r="18" spans="1:16" ht="15.75" customHeight="1" thickTop="1" x14ac:dyDescent="0.3">
      <c r="A18" s="260">
        <v>3</v>
      </c>
      <c r="B18" s="279" t="s">
        <v>542</v>
      </c>
      <c r="C18" s="280" t="s">
        <v>74</v>
      </c>
      <c r="D18" s="267" t="s">
        <v>539</v>
      </c>
      <c r="E18" s="281" t="s">
        <v>543</v>
      </c>
      <c r="F18" s="39">
        <v>6880</v>
      </c>
      <c r="G18" s="47" t="s">
        <v>544</v>
      </c>
      <c r="H18" s="36">
        <v>500</v>
      </c>
      <c r="I18" s="36">
        <v>1000</v>
      </c>
      <c r="J18" s="36"/>
      <c r="K18" s="36"/>
      <c r="L18" s="36">
        <f>SUM(H18:K18)</f>
        <v>1500</v>
      </c>
      <c r="M18" s="356">
        <v>14500</v>
      </c>
      <c r="N18" s="36"/>
      <c r="O18" s="94"/>
      <c r="P18" s="39">
        <v>1500</v>
      </c>
    </row>
    <row r="19" spans="1:16" x14ac:dyDescent="0.3">
      <c r="A19" s="249"/>
      <c r="B19" s="277"/>
      <c r="C19" s="267"/>
      <c r="D19" s="267"/>
      <c r="E19" s="267"/>
      <c r="F19" s="31">
        <v>6998</v>
      </c>
      <c r="G19" s="36" t="s">
        <v>791</v>
      </c>
      <c r="H19" s="36"/>
      <c r="I19" s="36">
        <v>1000</v>
      </c>
      <c r="J19" s="36">
        <v>3000</v>
      </c>
      <c r="K19" s="36"/>
      <c r="L19" s="36">
        <f>SUM(H19:K19)</f>
        <v>4000</v>
      </c>
      <c r="M19" s="356"/>
      <c r="N19" s="36"/>
      <c r="O19" s="73"/>
      <c r="P19" s="36"/>
    </row>
    <row r="20" spans="1:16" ht="15.75" customHeight="1" x14ac:dyDescent="0.3">
      <c r="A20" s="249"/>
      <c r="B20" s="277"/>
      <c r="C20" s="267"/>
      <c r="D20" s="267"/>
      <c r="E20" s="267"/>
      <c r="F20" s="36">
        <v>7027</v>
      </c>
      <c r="G20" s="36" t="s">
        <v>867</v>
      </c>
      <c r="H20" s="36"/>
      <c r="I20" s="36">
        <v>9000</v>
      </c>
      <c r="J20" s="36"/>
      <c r="K20" s="36"/>
      <c r="L20" s="36">
        <f>SUM(H20:K20)</f>
        <v>9000</v>
      </c>
      <c r="M20" s="356"/>
      <c r="N20" s="36"/>
      <c r="O20" s="81"/>
      <c r="P20" s="36"/>
    </row>
    <row r="21" spans="1:16" x14ac:dyDescent="0.3">
      <c r="A21" s="249"/>
      <c r="B21" s="277"/>
      <c r="C21" s="267"/>
      <c r="D21" s="267"/>
      <c r="E21" s="267"/>
      <c r="F21" s="36"/>
      <c r="G21" s="36"/>
      <c r="H21" s="36"/>
      <c r="I21" s="36"/>
      <c r="J21" s="36"/>
      <c r="K21" s="36"/>
      <c r="L21" s="36">
        <f>SUM(H21:K21)</f>
        <v>0</v>
      </c>
      <c r="M21" s="356"/>
      <c r="N21" s="36"/>
      <c r="O21" s="73"/>
      <c r="P21" s="36"/>
    </row>
    <row r="22" spans="1:16" ht="15" thickBot="1" x14ac:dyDescent="0.35">
      <c r="A22" s="249"/>
      <c r="B22" s="277"/>
      <c r="C22" s="267"/>
      <c r="D22" s="267"/>
      <c r="E22" s="267"/>
      <c r="F22" s="41"/>
      <c r="G22" s="41"/>
      <c r="H22" s="36"/>
      <c r="I22" s="36"/>
      <c r="J22" s="36"/>
      <c r="K22" s="36"/>
      <c r="L22" s="36">
        <f>SUM(H22:K22)</f>
        <v>0</v>
      </c>
      <c r="M22" s="356"/>
      <c r="N22" s="36"/>
      <c r="O22" s="93"/>
      <c r="P22" s="41"/>
    </row>
    <row r="23" spans="1:16" ht="15.6" thickTop="1" thickBot="1" x14ac:dyDescent="0.35">
      <c r="A23" s="250"/>
      <c r="B23" s="278"/>
      <c r="C23" s="268"/>
      <c r="D23" s="268"/>
      <c r="E23" s="268"/>
      <c r="F23" s="251"/>
      <c r="G23" s="252"/>
      <c r="H23" s="57">
        <f>SUM(H18:H22)</f>
        <v>500</v>
      </c>
      <c r="I23" s="57">
        <f t="shared" ref="I23:L23" si="2">SUM(I18:I22)</f>
        <v>11000</v>
      </c>
      <c r="J23" s="57">
        <f t="shared" si="2"/>
        <v>3000</v>
      </c>
      <c r="K23" s="57">
        <f t="shared" si="2"/>
        <v>0</v>
      </c>
      <c r="L23" s="57">
        <f t="shared" si="2"/>
        <v>14500</v>
      </c>
      <c r="M23" s="57"/>
      <c r="N23" s="57">
        <f>M18-L23</f>
        <v>0</v>
      </c>
      <c r="O23" s="111"/>
      <c r="P23" s="14">
        <f>SUM(P18:P22)</f>
        <v>1500</v>
      </c>
    </row>
    <row r="24" spans="1:16" ht="15.75" customHeight="1" thickTop="1" x14ac:dyDescent="0.3">
      <c r="A24" s="412">
        <v>4</v>
      </c>
      <c r="B24" s="283" t="s">
        <v>545</v>
      </c>
      <c r="C24" s="286" t="s">
        <v>119</v>
      </c>
      <c r="D24" s="257" t="s">
        <v>539</v>
      </c>
      <c r="E24" s="297" t="s">
        <v>870</v>
      </c>
      <c r="F24" s="16">
        <v>6812</v>
      </c>
      <c r="G24" s="18" t="s">
        <v>424</v>
      </c>
      <c r="H24" s="4">
        <v>500</v>
      </c>
      <c r="I24" s="4">
        <v>3000</v>
      </c>
      <c r="J24" s="4"/>
      <c r="K24" s="4"/>
      <c r="L24" s="4">
        <f>SUM(H24:K24)</f>
        <v>3500</v>
      </c>
      <c r="M24" s="340">
        <v>14500</v>
      </c>
      <c r="N24" s="4"/>
      <c r="O24" s="86" t="s">
        <v>240</v>
      </c>
      <c r="P24" s="15">
        <v>1500</v>
      </c>
    </row>
    <row r="25" spans="1:16" ht="16.5" customHeight="1" x14ac:dyDescent="0.3">
      <c r="A25" s="412"/>
      <c r="B25" s="284"/>
      <c r="C25" s="287"/>
      <c r="D25" s="257"/>
      <c r="E25" s="287"/>
      <c r="F25" s="16">
        <v>6980</v>
      </c>
      <c r="G25" s="27" t="s">
        <v>757</v>
      </c>
      <c r="H25" s="4"/>
      <c r="I25" s="4">
        <v>2000</v>
      </c>
      <c r="J25" s="4">
        <v>3000</v>
      </c>
      <c r="K25" s="4"/>
      <c r="L25" s="4">
        <f>SUM(H25:K25)</f>
        <v>5000</v>
      </c>
      <c r="M25" s="340"/>
      <c r="N25" s="4"/>
      <c r="O25" s="71"/>
      <c r="P25" s="16"/>
    </row>
    <row r="26" spans="1:16" x14ac:dyDescent="0.3">
      <c r="A26" s="412"/>
      <c r="B26" s="284"/>
      <c r="C26" s="287"/>
      <c r="D26" s="257"/>
      <c r="E26" s="287"/>
      <c r="F26" s="16"/>
      <c r="G26" s="16"/>
      <c r="H26" s="4"/>
      <c r="I26" s="4"/>
      <c r="J26" s="4"/>
      <c r="K26" s="4"/>
      <c r="L26" s="4">
        <f>SUM(H26:K26)</f>
        <v>0</v>
      </c>
      <c r="M26" s="340"/>
      <c r="N26" s="4"/>
      <c r="O26" s="78"/>
      <c r="P26" s="16"/>
    </row>
    <row r="27" spans="1:16" x14ac:dyDescent="0.3">
      <c r="A27" s="412"/>
      <c r="B27" s="284"/>
      <c r="C27" s="287"/>
      <c r="D27" s="257"/>
      <c r="E27" s="287"/>
      <c r="F27" s="16"/>
      <c r="G27" s="16"/>
      <c r="H27" s="4"/>
      <c r="I27" s="4"/>
      <c r="J27" s="4"/>
      <c r="K27" s="4"/>
      <c r="L27" s="4">
        <f>SUM(H27:K27)</f>
        <v>0</v>
      </c>
      <c r="M27" s="340"/>
      <c r="N27" s="4"/>
      <c r="O27" s="72"/>
      <c r="P27" s="16"/>
    </row>
    <row r="28" spans="1:16" ht="15" thickBot="1" x14ac:dyDescent="0.35">
      <c r="A28" s="412"/>
      <c r="B28" s="284"/>
      <c r="C28" s="287"/>
      <c r="D28" s="257"/>
      <c r="E28" s="287"/>
      <c r="F28" s="17"/>
      <c r="G28" s="17"/>
      <c r="H28" s="4"/>
      <c r="I28" s="4"/>
      <c r="J28" s="4"/>
      <c r="K28" s="4"/>
      <c r="L28" s="4">
        <f>SUM(H28:K28)</f>
        <v>0</v>
      </c>
      <c r="M28" s="340"/>
      <c r="N28" s="4"/>
      <c r="O28" s="90"/>
      <c r="P28" s="17"/>
    </row>
    <row r="29" spans="1:16" ht="15.6" thickTop="1" thickBot="1" x14ac:dyDescent="0.35">
      <c r="A29" s="413"/>
      <c r="B29" s="285"/>
      <c r="C29" s="288"/>
      <c r="D29" s="258"/>
      <c r="E29" s="288"/>
      <c r="F29" s="243"/>
      <c r="G29" s="244"/>
      <c r="H29" s="56">
        <f>SUM(H24:H28)</f>
        <v>500</v>
      </c>
      <c r="I29" s="56">
        <f t="shared" ref="I29:L29" si="3">SUM(I24:I28)</f>
        <v>5000</v>
      </c>
      <c r="J29" s="56">
        <f t="shared" si="3"/>
        <v>3000</v>
      </c>
      <c r="K29" s="56">
        <f t="shared" si="3"/>
        <v>0</v>
      </c>
      <c r="L29" s="56">
        <f t="shared" si="3"/>
        <v>8500</v>
      </c>
      <c r="M29" s="56"/>
      <c r="N29" s="56">
        <f>M24-L29</f>
        <v>6000</v>
      </c>
      <c r="O29" s="100"/>
      <c r="P29" s="190">
        <f>SUM(P24:P28)</f>
        <v>1500</v>
      </c>
    </row>
    <row r="30" spans="1:16" ht="16.5" customHeight="1" thickTop="1" x14ac:dyDescent="0.3">
      <c r="A30" s="248">
        <v>5</v>
      </c>
      <c r="B30" s="253" t="s">
        <v>546</v>
      </c>
      <c r="C30" s="256" t="s">
        <v>119</v>
      </c>
      <c r="D30" s="257" t="s">
        <v>540</v>
      </c>
      <c r="E30" s="259" t="s">
        <v>547</v>
      </c>
      <c r="F30" s="4">
        <v>6897</v>
      </c>
      <c r="G30" s="5" t="s">
        <v>548</v>
      </c>
      <c r="H30" s="4">
        <v>500</v>
      </c>
      <c r="I30" s="4">
        <v>1500</v>
      </c>
      <c r="J30" s="4">
        <v>3000</v>
      </c>
      <c r="K30" s="4"/>
      <c r="L30" s="4">
        <f>SUM(H30:K30)</f>
        <v>5000</v>
      </c>
      <c r="M30" s="340">
        <v>14500</v>
      </c>
      <c r="N30" s="4"/>
      <c r="O30" s="116"/>
      <c r="P30" s="3"/>
    </row>
    <row r="31" spans="1:16" x14ac:dyDescent="0.3">
      <c r="A31" s="241"/>
      <c r="B31" s="254"/>
      <c r="C31" s="257"/>
      <c r="D31" s="257"/>
      <c r="E31" s="257"/>
      <c r="F31" s="4"/>
      <c r="G31" s="4"/>
      <c r="H31" s="4"/>
      <c r="I31" s="4"/>
      <c r="J31" s="4"/>
      <c r="K31" s="4"/>
      <c r="L31" s="4">
        <f>SUM(H31:K31)</f>
        <v>0</v>
      </c>
      <c r="M31" s="340"/>
      <c r="N31" s="4"/>
      <c r="O31" s="71"/>
      <c r="P31" s="4"/>
    </row>
    <row r="32" spans="1:16" x14ac:dyDescent="0.3">
      <c r="A32" s="241"/>
      <c r="B32" s="254"/>
      <c r="C32" s="257"/>
      <c r="D32" s="257"/>
      <c r="E32" s="257"/>
      <c r="F32" s="4"/>
      <c r="G32" s="4"/>
      <c r="H32" s="4"/>
      <c r="I32" s="4"/>
      <c r="J32" s="4"/>
      <c r="K32" s="4"/>
      <c r="L32" s="4">
        <f>SUM(H32:K32)</f>
        <v>0</v>
      </c>
      <c r="M32" s="340"/>
      <c r="N32" s="4"/>
      <c r="O32" s="78"/>
      <c r="P32" s="4"/>
    </row>
    <row r="33" spans="1:17" x14ac:dyDescent="0.3">
      <c r="A33" s="241"/>
      <c r="B33" s="254"/>
      <c r="C33" s="257"/>
      <c r="D33" s="257"/>
      <c r="E33" s="257"/>
      <c r="F33" s="4"/>
      <c r="G33" s="4"/>
      <c r="H33" s="4"/>
      <c r="I33" s="4"/>
      <c r="J33" s="4"/>
      <c r="K33" s="4"/>
      <c r="L33" s="4">
        <f>SUM(H33:K33)</f>
        <v>0</v>
      </c>
      <c r="M33" s="340"/>
      <c r="N33" s="4"/>
      <c r="O33" s="71"/>
      <c r="P33" s="4"/>
    </row>
    <row r="34" spans="1:17" ht="15" thickBot="1" x14ac:dyDescent="0.35">
      <c r="A34" s="241"/>
      <c r="B34" s="254"/>
      <c r="C34" s="257"/>
      <c r="D34" s="257"/>
      <c r="E34" s="257"/>
      <c r="F34" s="6"/>
      <c r="G34" s="6"/>
      <c r="H34" s="4"/>
      <c r="I34" s="4"/>
      <c r="J34" s="4"/>
      <c r="K34" s="4"/>
      <c r="L34" s="4">
        <f>SUM(H34:K34)</f>
        <v>0</v>
      </c>
      <c r="M34" s="340"/>
      <c r="N34" s="4"/>
      <c r="O34" s="87"/>
      <c r="P34" s="6"/>
    </row>
    <row r="35" spans="1:17" ht="16.5" customHeight="1" thickTop="1" thickBot="1" x14ac:dyDescent="0.35">
      <c r="A35" s="242"/>
      <c r="B35" s="255"/>
      <c r="C35" s="258"/>
      <c r="D35" s="258"/>
      <c r="E35" s="258"/>
      <c r="F35" s="243"/>
      <c r="G35" s="244"/>
      <c r="H35" s="56">
        <f>SUM(H30:H34)</f>
        <v>500</v>
      </c>
      <c r="I35" s="56">
        <f t="shared" ref="I35:L35" si="4">SUM(I30:I34)</f>
        <v>1500</v>
      </c>
      <c r="J35" s="56">
        <f t="shared" si="4"/>
        <v>3000</v>
      </c>
      <c r="K35" s="56">
        <f t="shared" si="4"/>
        <v>0</v>
      </c>
      <c r="L35" s="56">
        <f t="shared" si="4"/>
        <v>5000</v>
      </c>
      <c r="M35" s="56"/>
      <c r="N35" s="56">
        <f>M30-L35</f>
        <v>9500</v>
      </c>
      <c r="O35" s="100"/>
      <c r="P35" s="190">
        <f>SUM(P30:P34)</f>
        <v>0</v>
      </c>
    </row>
    <row r="36" spans="1:17" ht="15.75" customHeight="1" thickTop="1" x14ac:dyDescent="0.3">
      <c r="A36" s="248">
        <v>6</v>
      </c>
      <c r="B36" s="253" t="s">
        <v>549</v>
      </c>
      <c r="C36" s="256" t="s">
        <v>101</v>
      </c>
      <c r="D36" s="257" t="s">
        <v>540</v>
      </c>
      <c r="E36" s="259" t="s">
        <v>550</v>
      </c>
      <c r="F36" s="4">
        <v>6923</v>
      </c>
      <c r="G36" s="5" t="s">
        <v>551</v>
      </c>
      <c r="H36" s="4">
        <v>500</v>
      </c>
      <c r="I36" s="4">
        <v>3500</v>
      </c>
      <c r="J36" s="4"/>
      <c r="K36" s="4"/>
      <c r="L36" s="4">
        <f>SUM(H36:K36)</f>
        <v>4000</v>
      </c>
      <c r="M36" s="340">
        <v>14500</v>
      </c>
      <c r="N36" s="4"/>
      <c r="O36" s="94" t="s">
        <v>295</v>
      </c>
      <c r="P36" s="3"/>
    </row>
    <row r="37" spans="1:17" x14ac:dyDescent="0.3">
      <c r="A37" s="241"/>
      <c r="B37" s="254"/>
      <c r="C37" s="257"/>
      <c r="D37" s="257"/>
      <c r="E37" s="257"/>
      <c r="F37" s="16"/>
      <c r="G37" s="26"/>
      <c r="H37" s="4"/>
      <c r="I37" s="4"/>
      <c r="J37" s="4"/>
      <c r="K37" s="4"/>
      <c r="L37" s="4">
        <f>SUM(H37:K37)</f>
        <v>0</v>
      </c>
      <c r="M37" s="340"/>
      <c r="N37" s="4"/>
      <c r="O37" s="71"/>
      <c r="P37" s="4"/>
    </row>
    <row r="38" spans="1:17" x14ac:dyDescent="0.3">
      <c r="A38" s="241"/>
      <c r="B38" s="254"/>
      <c r="C38" s="257"/>
      <c r="D38" s="257"/>
      <c r="E38" s="257"/>
      <c r="F38" s="16"/>
      <c r="G38" s="26"/>
      <c r="H38" s="4"/>
      <c r="I38" s="4"/>
      <c r="J38" s="4"/>
      <c r="K38" s="4"/>
      <c r="L38" s="4">
        <f>SUM(H38:K38)</f>
        <v>0</v>
      </c>
      <c r="M38" s="340"/>
      <c r="N38" s="4"/>
      <c r="O38" s="78"/>
      <c r="P38" s="4"/>
    </row>
    <row r="39" spans="1:17" x14ac:dyDescent="0.3">
      <c r="A39" s="241"/>
      <c r="B39" s="254"/>
      <c r="C39" s="257"/>
      <c r="D39" s="257"/>
      <c r="E39" s="257"/>
      <c r="F39" s="4"/>
      <c r="G39" s="4"/>
      <c r="H39" s="4"/>
      <c r="I39" s="4"/>
      <c r="J39" s="4"/>
      <c r="K39" s="4"/>
      <c r="L39" s="4">
        <f>SUM(H39:K39)</f>
        <v>0</v>
      </c>
      <c r="M39" s="340"/>
      <c r="N39" s="4"/>
      <c r="O39" s="71"/>
      <c r="P39" s="4"/>
    </row>
    <row r="40" spans="1:17" ht="16.5" customHeight="1" thickBot="1" x14ac:dyDescent="0.35">
      <c r="A40" s="241"/>
      <c r="B40" s="254"/>
      <c r="C40" s="257"/>
      <c r="D40" s="257"/>
      <c r="E40" s="257"/>
      <c r="F40" s="6"/>
      <c r="G40" s="6"/>
      <c r="H40" s="4"/>
      <c r="I40" s="4"/>
      <c r="J40" s="4"/>
      <c r="K40" s="4"/>
      <c r="L40" s="4">
        <f>SUM(H40:K40)</f>
        <v>0</v>
      </c>
      <c r="M40" s="340"/>
      <c r="N40" s="4"/>
      <c r="O40" s="87"/>
      <c r="P40" s="6"/>
    </row>
    <row r="41" spans="1:17" ht="15.6" thickTop="1" thickBot="1" x14ac:dyDescent="0.35">
      <c r="A41" s="242"/>
      <c r="B41" s="255"/>
      <c r="C41" s="258"/>
      <c r="D41" s="258"/>
      <c r="E41" s="258"/>
      <c r="F41" s="243"/>
      <c r="G41" s="244"/>
      <c r="H41" s="56">
        <f>SUM(H36:H40)</f>
        <v>500</v>
      </c>
      <c r="I41" s="56">
        <f t="shared" ref="I41:L41" si="5">SUM(I36:I40)</f>
        <v>3500</v>
      </c>
      <c r="J41" s="56">
        <f t="shared" si="5"/>
        <v>0</v>
      </c>
      <c r="K41" s="56">
        <f t="shared" si="5"/>
        <v>0</v>
      </c>
      <c r="L41" s="56">
        <f t="shared" si="5"/>
        <v>4000</v>
      </c>
      <c r="M41" s="56"/>
      <c r="N41" s="56">
        <f>M36-L41</f>
        <v>10500</v>
      </c>
      <c r="O41" s="100"/>
      <c r="P41" s="190">
        <f>SUM(P36:P40)</f>
        <v>0</v>
      </c>
    </row>
    <row r="42" spans="1:17" ht="15.75" customHeight="1" thickTop="1" x14ac:dyDescent="0.3">
      <c r="A42" s="412">
        <v>7</v>
      </c>
      <c r="B42" s="253" t="s">
        <v>556</v>
      </c>
      <c r="C42" s="257" t="s">
        <v>193</v>
      </c>
      <c r="D42" s="257" t="s">
        <v>553</v>
      </c>
      <c r="E42" s="297" t="s">
        <v>554</v>
      </c>
      <c r="F42" s="15">
        <v>6924</v>
      </c>
      <c r="G42" s="27" t="s">
        <v>555</v>
      </c>
      <c r="H42" s="4">
        <v>500</v>
      </c>
      <c r="I42" s="4">
        <v>6500</v>
      </c>
      <c r="J42" s="4">
        <v>3000</v>
      </c>
      <c r="K42" s="4"/>
      <c r="L42" s="4">
        <f>SUM(H42:K42)</f>
        <v>10000</v>
      </c>
      <c r="M42" s="340">
        <v>14500</v>
      </c>
      <c r="N42" s="4"/>
      <c r="O42" s="91"/>
      <c r="P42" s="15"/>
      <c r="Q42" s="124"/>
    </row>
    <row r="43" spans="1:17" x14ac:dyDescent="0.3">
      <c r="A43" s="412"/>
      <c r="B43" s="254"/>
      <c r="C43" s="257"/>
      <c r="D43" s="257"/>
      <c r="E43" s="287"/>
      <c r="F43" s="16"/>
      <c r="G43" s="16"/>
      <c r="H43" s="4"/>
      <c r="I43" s="4"/>
      <c r="J43" s="4"/>
      <c r="K43" s="4"/>
      <c r="L43" s="4">
        <f>SUM(H43:K43)</f>
        <v>0</v>
      </c>
      <c r="M43" s="340"/>
      <c r="N43" s="4"/>
      <c r="O43" s="72"/>
      <c r="P43" s="16"/>
    </row>
    <row r="44" spans="1:17" x14ac:dyDescent="0.3">
      <c r="A44" s="412"/>
      <c r="B44" s="254"/>
      <c r="C44" s="257"/>
      <c r="D44" s="257"/>
      <c r="E44" s="287"/>
      <c r="F44" s="16"/>
      <c r="G44" s="27"/>
      <c r="H44" s="4"/>
      <c r="I44" s="4"/>
      <c r="J44" s="4"/>
      <c r="K44" s="4"/>
      <c r="L44" s="4">
        <f>SUM(H44:K44)</f>
        <v>0</v>
      </c>
      <c r="M44" s="340"/>
      <c r="N44" s="4"/>
      <c r="O44" s="82"/>
      <c r="P44" s="16"/>
    </row>
    <row r="45" spans="1:17" ht="16.5" customHeight="1" x14ac:dyDescent="0.3">
      <c r="A45" s="412"/>
      <c r="B45" s="254"/>
      <c r="C45" s="257"/>
      <c r="D45" s="257"/>
      <c r="E45" s="287"/>
      <c r="F45" s="16"/>
      <c r="G45" s="16"/>
      <c r="H45" s="4"/>
      <c r="I45" s="4"/>
      <c r="J45" s="4"/>
      <c r="K45" s="4"/>
      <c r="L45" s="4">
        <f>SUM(H45:K45)</f>
        <v>0</v>
      </c>
      <c r="M45" s="340"/>
      <c r="N45" s="4"/>
      <c r="O45" s="72"/>
      <c r="P45" s="16"/>
    </row>
    <row r="46" spans="1:17" ht="15" thickBot="1" x14ac:dyDescent="0.35">
      <c r="A46" s="412"/>
      <c r="B46" s="254"/>
      <c r="C46" s="257"/>
      <c r="D46" s="257"/>
      <c r="E46" s="287"/>
      <c r="F46" s="17"/>
      <c r="G46" s="17"/>
      <c r="H46" s="4"/>
      <c r="I46" s="4"/>
      <c r="J46" s="4"/>
      <c r="K46" s="4"/>
      <c r="L46" s="4">
        <f>SUM(H46:K46)</f>
        <v>0</v>
      </c>
      <c r="M46" s="340"/>
      <c r="N46" s="4"/>
      <c r="O46" s="90"/>
      <c r="P46" s="17"/>
    </row>
    <row r="47" spans="1:17" ht="15.6" thickTop="1" thickBot="1" x14ac:dyDescent="0.35">
      <c r="A47" s="413"/>
      <c r="B47" s="255"/>
      <c r="C47" s="258"/>
      <c r="D47" s="258"/>
      <c r="E47" s="288"/>
      <c r="F47" s="410"/>
      <c r="G47" s="411"/>
      <c r="H47" s="56">
        <f>SUM(H42:H46)</f>
        <v>500</v>
      </c>
      <c r="I47" s="56">
        <f t="shared" ref="I47:L47" si="6">SUM(I42:I46)</f>
        <v>6500</v>
      </c>
      <c r="J47" s="56">
        <f t="shared" si="6"/>
        <v>3000</v>
      </c>
      <c r="K47" s="56">
        <f t="shared" si="6"/>
        <v>0</v>
      </c>
      <c r="L47" s="56">
        <f t="shared" si="6"/>
        <v>10000</v>
      </c>
      <c r="M47" s="56"/>
      <c r="N47" s="56">
        <f>M42-L47</f>
        <v>4500</v>
      </c>
      <c r="O47" s="100"/>
      <c r="P47" s="190">
        <f>SUM(P42:P46)</f>
        <v>0</v>
      </c>
    </row>
    <row r="48" spans="1:17" ht="15.75" customHeight="1" thickTop="1" x14ac:dyDescent="0.3">
      <c r="A48" s="260">
        <v>8</v>
      </c>
      <c r="B48" s="261" t="s">
        <v>557</v>
      </c>
      <c r="C48" s="264" t="s">
        <v>558</v>
      </c>
      <c r="D48" s="267" t="s">
        <v>552</v>
      </c>
      <c r="E48" s="281" t="s">
        <v>559</v>
      </c>
      <c r="F48" s="39">
        <v>6926</v>
      </c>
      <c r="G48" s="40" t="s">
        <v>560</v>
      </c>
      <c r="H48" s="36">
        <v>500</v>
      </c>
      <c r="I48" s="36">
        <v>11000</v>
      </c>
      <c r="J48" s="36">
        <v>3000</v>
      </c>
      <c r="K48" s="36"/>
      <c r="L48" s="36">
        <f>SUM(H48:K48)</f>
        <v>14500</v>
      </c>
      <c r="M48" s="356">
        <v>14500</v>
      </c>
      <c r="N48" s="36"/>
      <c r="O48" s="94" t="s">
        <v>240</v>
      </c>
      <c r="P48" s="39">
        <v>1500</v>
      </c>
    </row>
    <row r="49" spans="1:16" x14ac:dyDescent="0.3">
      <c r="A49" s="249"/>
      <c r="B49" s="262"/>
      <c r="C49" s="265"/>
      <c r="D49" s="267"/>
      <c r="E49" s="267"/>
      <c r="F49" s="31"/>
      <c r="G49" s="36"/>
      <c r="H49" s="36"/>
      <c r="I49" s="36"/>
      <c r="J49" s="36"/>
      <c r="K49" s="36"/>
      <c r="L49" s="36">
        <f>SUM(H49:K49)</f>
        <v>0</v>
      </c>
      <c r="M49" s="356"/>
      <c r="N49" s="36"/>
      <c r="O49" s="73"/>
      <c r="P49" s="36"/>
    </row>
    <row r="50" spans="1:16" x14ac:dyDescent="0.3">
      <c r="A50" s="249"/>
      <c r="B50" s="262"/>
      <c r="C50" s="265"/>
      <c r="D50" s="267"/>
      <c r="E50" s="267"/>
      <c r="F50" s="31"/>
      <c r="G50" s="48"/>
      <c r="H50" s="36"/>
      <c r="I50" s="36"/>
      <c r="J50" s="36"/>
      <c r="K50" s="36"/>
      <c r="L50" s="36">
        <f>SUM(H50:K50)</f>
        <v>0</v>
      </c>
      <c r="M50" s="356"/>
      <c r="N50" s="36"/>
      <c r="O50" s="81"/>
      <c r="P50" s="36"/>
    </row>
    <row r="51" spans="1:16" x14ac:dyDescent="0.3">
      <c r="A51" s="249"/>
      <c r="B51" s="262"/>
      <c r="C51" s="265"/>
      <c r="D51" s="267"/>
      <c r="E51" s="267"/>
      <c r="F51" s="36"/>
      <c r="G51" s="36"/>
      <c r="H51" s="36"/>
      <c r="I51" s="36"/>
      <c r="J51" s="36"/>
      <c r="K51" s="36"/>
      <c r="L51" s="36">
        <f>SUM(H51:K51)</f>
        <v>0</v>
      </c>
      <c r="M51" s="356"/>
      <c r="N51" s="36"/>
      <c r="O51" s="73"/>
      <c r="P51" s="36"/>
    </row>
    <row r="52" spans="1:16" ht="15" thickBot="1" x14ac:dyDescent="0.35">
      <c r="A52" s="249"/>
      <c r="B52" s="262"/>
      <c r="C52" s="265"/>
      <c r="D52" s="267"/>
      <c r="E52" s="267"/>
      <c r="F52" s="41"/>
      <c r="G52" s="41"/>
      <c r="H52" s="36"/>
      <c r="I52" s="36"/>
      <c r="J52" s="36"/>
      <c r="K52" s="36"/>
      <c r="L52" s="36">
        <f>SUM(H52:K52)</f>
        <v>0</v>
      </c>
      <c r="M52" s="356"/>
      <c r="N52" s="36"/>
      <c r="O52" s="93"/>
      <c r="P52" s="41"/>
    </row>
    <row r="53" spans="1:16" ht="15.6" thickTop="1" thickBot="1" x14ac:dyDescent="0.35">
      <c r="A53" s="250"/>
      <c r="B53" s="263"/>
      <c r="C53" s="266"/>
      <c r="D53" s="268"/>
      <c r="E53" s="268"/>
      <c r="F53" s="251"/>
      <c r="G53" s="252"/>
      <c r="H53" s="57">
        <f>SUM(H48:H52)</f>
        <v>500</v>
      </c>
      <c r="I53" s="57">
        <f t="shared" ref="I53:L53" si="7">SUM(I48:I52)</f>
        <v>11000</v>
      </c>
      <c r="J53" s="57">
        <f t="shared" si="7"/>
        <v>3000</v>
      </c>
      <c r="K53" s="57">
        <f t="shared" si="7"/>
        <v>0</v>
      </c>
      <c r="L53" s="57">
        <f t="shared" si="7"/>
        <v>14500</v>
      </c>
      <c r="M53" s="57"/>
      <c r="N53" s="57">
        <f>M48-L53</f>
        <v>0</v>
      </c>
      <c r="O53" s="111"/>
      <c r="P53" s="14">
        <f>SUM(P48:P52)</f>
        <v>1500</v>
      </c>
    </row>
    <row r="54" spans="1:16" ht="15.75" customHeight="1" thickTop="1" x14ac:dyDescent="0.3">
      <c r="A54" s="248">
        <v>9</v>
      </c>
      <c r="B54" s="283" t="s">
        <v>561</v>
      </c>
      <c r="C54" s="286" t="s">
        <v>558</v>
      </c>
      <c r="D54" s="257" t="s">
        <v>552</v>
      </c>
      <c r="E54" s="259" t="s">
        <v>562</v>
      </c>
      <c r="F54" s="3">
        <v>6928</v>
      </c>
      <c r="G54" s="7" t="s">
        <v>563</v>
      </c>
      <c r="H54" s="4">
        <v>500</v>
      </c>
      <c r="I54" s="4">
        <v>3500</v>
      </c>
      <c r="J54" s="4">
        <v>3000</v>
      </c>
      <c r="K54" s="4"/>
      <c r="L54" s="4">
        <f>SUM(H54:K54)</f>
        <v>7000</v>
      </c>
      <c r="M54" s="340">
        <v>14500</v>
      </c>
      <c r="N54" s="4"/>
      <c r="O54" s="86"/>
      <c r="P54" s="3">
        <v>1500</v>
      </c>
    </row>
    <row r="55" spans="1:16" ht="18" customHeight="1" x14ac:dyDescent="0.3">
      <c r="A55" s="241"/>
      <c r="B55" s="284"/>
      <c r="C55" s="287"/>
      <c r="D55" s="257"/>
      <c r="E55" s="257"/>
      <c r="F55" s="16"/>
      <c r="G55" s="5"/>
      <c r="H55" s="4"/>
      <c r="I55" s="4"/>
      <c r="J55" s="4"/>
      <c r="K55" s="4"/>
      <c r="L55" s="4">
        <f>SUM(H55:K55)</f>
        <v>0</v>
      </c>
      <c r="M55" s="340"/>
      <c r="N55" s="4"/>
      <c r="O55" s="71"/>
      <c r="P55" s="4"/>
    </row>
    <row r="56" spans="1:16" ht="18" customHeight="1" x14ac:dyDescent="0.3">
      <c r="A56" s="241"/>
      <c r="B56" s="284"/>
      <c r="C56" s="287"/>
      <c r="D56" s="257"/>
      <c r="E56" s="257"/>
      <c r="F56" s="16"/>
      <c r="G56" s="26"/>
      <c r="H56" s="4"/>
      <c r="I56" s="4"/>
      <c r="J56" s="4"/>
      <c r="K56" s="4"/>
      <c r="L56" s="4">
        <f>SUM(H56:K56)</f>
        <v>0</v>
      </c>
      <c r="M56" s="340"/>
      <c r="N56" s="4"/>
      <c r="O56" s="78"/>
      <c r="P56" s="4"/>
    </row>
    <row r="57" spans="1:16" ht="18" customHeight="1" x14ac:dyDescent="0.3">
      <c r="A57" s="241"/>
      <c r="B57" s="284"/>
      <c r="C57" s="287"/>
      <c r="D57" s="257"/>
      <c r="E57" s="257"/>
      <c r="F57" s="4"/>
      <c r="G57" s="4"/>
      <c r="H57" s="4"/>
      <c r="I57" s="4"/>
      <c r="J57" s="4"/>
      <c r="K57" s="4"/>
      <c r="L57" s="4">
        <f>SUM(H57:K57)</f>
        <v>0</v>
      </c>
      <c r="M57" s="340"/>
      <c r="N57" s="4"/>
      <c r="O57" s="72"/>
      <c r="P57" s="4"/>
    </row>
    <row r="58" spans="1:16" ht="18" customHeight="1" thickBot="1" x14ac:dyDescent="0.35">
      <c r="A58" s="241"/>
      <c r="B58" s="284"/>
      <c r="C58" s="287"/>
      <c r="D58" s="257"/>
      <c r="E58" s="257"/>
      <c r="F58" s="6"/>
      <c r="G58" s="6"/>
      <c r="H58" s="4"/>
      <c r="I58" s="4"/>
      <c r="J58" s="4"/>
      <c r="K58" s="4"/>
      <c r="L58" s="4">
        <f>SUM(H58:K58)</f>
        <v>0</v>
      </c>
      <c r="M58" s="340"/>
      <c r="N58" s="4"/>
      <c r="O58" s="87"/>
      <c r="P58" s="6"/>
    </row>
    <row r="59" spans="1:16" ht="18" customHeight="1" thickTop="1" thickBot="1" x14ac:dyDescent="0.35">
      <c r="A59" s="242"/>
      <c r="B59" s="285"/>
      <c r="C59" s="288"/>
      <c r="D59" s="258"/>
      <c r="E59" s="258"/>
      <c r="F59" s="243"/>
      <c r="G59" s="244"/>
      <c r="H59" s="56">
        <f>SUM(H54:H58)</f>
        <v>500</v>
      </c>
      <c r="I59" s="56">
        <f t="shared" ref="I59:L59" si="8">SUM(I54:I58)</f>
        <v>3500</v>
      </c>
      <c r="J59" s="56">
        <f t="shared" si="8"/>
        <v>3000</v>
      </c>
      <c r="K59" s="56">
        <f t="shared" si="8"/>
        <v>0</v>
      </c>
      <c r="L59" s="56">
        <f t="shared" si="8"/>
        <v>7000</v>
      </c>
      <c r="M59" s="56"/>
      <c r="N59" s="56">
        <f>M54-L59</f>
        <v>7500</v>
      </c>
      <c r="O59" s="100"/>
      <c r="P59" s="190">
        <f>SUM(P54:P58)</f>
        <v>1500</v>
      </c>
    </row>
    <row r="60" spans="1:16" ht="18" customHeight="1" thickTop="1" x14ac:dyDescent="0.3">
      <c r="A60" s="241">
        <v>10</v>
      </c>
      <c r="B60" s="253" t="s">
        <v>564</v>
      </c>
      <c r="C60" s="256" t="s">
        <v>532</v>
      </c>
      <c r="D60" s="257" t="s">
        <v>552</v>
      </c>
      <c r="E60" s="259" t="s">
        <v>565</v>
      </c>
      <c r="F60" s="3">
        <v>6943</v>
      </c>
      <c r="G60" s="29" t="s">
        <v>533</v>
      </c>
      <c r="H60" s="4">
        <v>500</v>
      </c>
      <c r="I60" s="4">
        <v>3000</v>
      </c>
      <c r="J60" s="4">
        <v>3000</v>
      </c>
      <c r="K60" s="4"/>
      <c r="L60" s="4">
        <f>SUM(H60:K60)</f>
        <v>6500</v>
      </c>
      <c r="M60" s="340">
        <v>14500</v>
      </c>
      <c r="N60" s="4"/>
      <c r="O60" s="89"/>
      <c r="P60" s="3">
        <v>1500</v>
      </c>
    </row>
    <row r="61" spans="1:16" ht="18" customHeight="1" x14ac:dyDescent="0.3">
      <c r="A61" s="241"/>
      <c r="B61" s="254"/>
      <c r="C61" s="257"/>
      <c r="D61" s="257"/>
      <c r="E61" s="257"/>
      <c r="F61" s="16"/>
      <c r="G61" s="4"/>
      <c r="H61" s="4"/>
      <c r="I61" s="4"/>
      <c r="J61" s="4"/>
      <c r="K61" s="4"/>
      <c r="L61" s="4">
        <f>SUM(H61:K61)</f>
        <v>0</v>
      </c>
      <c r="M61" s="340"/>
      <c r="N61" s="4"/>
      <c r="O61" s="20"/>
      <c r="P61" s="4"/>
    </row>
    <row r="62" spans="1:16" ht="18" customHeight="1" x14ac:dyDescent="0.3">
      <c r="A62" s="241"/>
      <c r="B62" s="254"/>
      <c r="C62" s="257"/>
      <c r="D62" s="257"/>
      <c r="E62" s="257"/>
      <c r="F62" s="16"/>
      <c r="G62" s="4"/>
      <c r="H62" s="4"/>
      <c r="I62" s="4"/>
      <c r="J62" s="4"/>
      <c r="K62" s="4"/>
      <c r="L62" s="4">
        <f>SUM(H62:K62)</f>
        <v>0</v>
      </c>
      <c r="M62" s="340"/>
      <c r="N62" s="4"/>
      <c r="O62" s="4"/>
      <c r="P62" s="4"/>
    </row>
    <row r="63" spans="1:16" ht="18" customHeight="1" x14ac:dyDescent="0.3">
      <c r="A63" s="241"/>
      <c r="B63" s="254"/>
      <c r="C63" s="257"/>
      <c r="D63" s="257"/>
      <c r="E63" s="257"/>
      <c r="F63" s="16"/>
      <c r="G63" s="5"/>
      <c r="H63" s="4"/>
      <c r="I63" s="4"/>
      <c r="J63" s="4"/>
      <c r="K63" s="4"/>
      <c r="L63" s="4">
        <f>SUM(H63:K63)</f>
        <v>0</v>
      </c>
      <c r="M63" s="340"/>
      <c r="N63" s="4"/>
      <c r="O63" s="26"/>
      <c r="P63" s="4"/>
    </row>
    <row r="64" spans="1:16" ht="18" customHeight="1" thickBot="1" x14ac:dyDescent="0.35">
      <c r="A64" s="241"/>
      <c r="B64" s="254"/>
      <c r="C64" s="257"/>
      <c r="D64" s="257"/>
      <c r="E64" s="257"/>
      <c r="F64" s="6"/>
      <c r="G64" s="6"/>
      <c r="H64" s="4"/>
      <c r="I64" s="4"/>
      <c r="J64" s="4"/>
      <c r="K64" s="4"/>
      <c r="L64" s="4">
        <f>SUM(H64:K64)</f>
        <v>0</v>
      </c>
      <c r="M64" s="340"/>
      <c r="N64" s="4"/>
      <c r="O64" s="78"/>
      <c r="P64" s="6"/>
    </row>
    <row r="65" spans="1:16" ht="18" customHeight="1" thickTop="1" thickBot="1" x14ac:dyDescent="0.35">
      <c r="A65" s="242"/>
      <c r="B65" s="255"/>
      <c r="C65" s="258"/>
      <c r="D65" s="258"/>
      <c r="E65" s="258"/>
      <c r="F65" s="243"/>
      <c r="G65" s="244"/>
      <c r="H65" s="56">
        <f>SUM(H60:H64)</f>
        <v>500</v>
      </c>
      <c r="I65" s="56">
        <f t="shared" ref="I65:L65" si="9">SUM(I60:I64)</f>
        <v>3000</v>
      </c>
      <c r="J65" s="56">
        <f t="shared" si="9"/>
        <v>3000</v>
      </c>
      <c r="K65" s="56">
        <f t="shared" si="9"/>
        <v>0</v>
      </c>
      <c r="L65" s="56">
        <f t="shared" si="9"/>
        <v>6500</v>
      </c>
      <c r="M65" s="56"/>
      <c r="N65" s="56">
        <f>M60-L65</f>
        <v>8000</v>
      </c>
      <c r="O65" s="100"/>
      <c r="P65" s="8">
        <f>SUM(P60:P64)</f>
        <v>1500</v>
      </c>
    </row>
    <row r="66" spans="1:16" ht="18" customHeight="1" thickTop="1" x14ac:dyDescent="0.3">
      <c r="A66" s="260">
        <v>11</v>
      </c>
      <c r="B66" s="261" t="s">
        <v>566</v>
      </c>
      <c r="C66" s="280" t="s">
        <v>205</v>
      </c>
      <c r="D66" s="267" t="s">
        <v>552</v>
      </c>
      <c r="E66" s="269" t="s">
        <v>567</v>
      </c>
      <c r="F66" s="33">
        <v>6960</v>
      </c>
      <c r="G66" s="49" t="s">
        <v>568</v>
      </c>
      <c r="H66" s="36">
        <v>500</v>
      </c>
      <c r="I66" s="36">
        <v>11000</v>
      </c>
      <c r="J66" s="36">
        <v>3000</v>
      </c>
      <c r="K66" s="36"/>
      <c r="L66" s="36">
        <f>SUM(H66:K66)</f>
        <v>14500</v>
      </c>
      <c r="M66" s="356">
        <v>14500</v>
      </c>
      <c r="N66" s="36"/>
      <c r="O66" s="96" t="s">
        <v>240</v>
      </c>
      <c r="P66" s="33">
        <v>1500</v>
      </c>
    </row>
    <row r="67" spans="1:16" ht="18" customHeight="1" x14ac:dyDescent="0.3">
      <c r="A67" s="249"/>
      <c r="B67" s="262"/>
      <c r="C67" s="267"/>
      <c r="D67" s="267"/>
      <c r="E67" s="265"/>
      <c r="F67" s="31"/>
      <c r="G67" s="35"/>
      <c r="H67" s="36"/>
      <c r="I67" s="36"/>
      <c r="J67" s="36"/>
      <c r="K67" s="36"/>
      <c r="L67" s="36">
        <f>SUM(H67:K67)</f>
        <v>0</v>
      </c>
      <c r="M67" s="356"/>
      <c r="N67" s="36"/>
      <c r="O67" s="80"/>
      <c r="P67" s="31"/>
    </row>
    <row r="68" spans="1:16" ht="18" customHeight="1" x14ac:dyDescent="0.3">
      <c r="A68" s="249"/>
      <c r="B68" s="262"/>
      <c r="C68" s="267"/>
      <c r="D68" s="267"/>
      <c r="E68" s="265"/>
      <c r="F68" s="31"/>
      <c r="G68" s="32"/>
      <c r="H68" s="36"/>
      <c r="I68" s="36"/>
      <c r="J68" s="36"/>
      <c r="K68" s="36"/>
      <c r="L68" s="36">
        <f>SUM(H68:K68)</f>
        <v>0</v>
      </c>
      <c r="M68" s="356"/>
      <c r="N68" s="36"/>
      <c r="O68" s="97"/>
      <c r="P68" s="31"/>
    </row>
    <row r="69" spans="1:16" ht="18" customHeight="1" x14ac:dyDescent="0.3">
      <c r="A69" s="249"/>
      <c r="B69" s="262"/>
      <c r="C69" s="267"/>
      <c r="D69" s="267"/>
      <c r="E69" s="265"/>
      <c r="F69" s="31"/>
      <c r="G69" s="31"/>
      <c r="H69" s="36"/>
      <c r="I69" s="36"/>
      <c r="J69" s="36"/>
      <c r="K69" s="36"/>
      <c r="L69" s="36">
        <f>SUM(H69:K69)</f>
        <v>0</v>
      </c>
      <c r="M69" s="356"/>
      <c r="N69" s="36"/>
      <c r="O69" s="80"/>
      <c r="P69" s="31"/>
    </row>
    <row r="70" spans="1:16" ht="18" customHeight="1" thickBot="1" x14ac:dyDescent="0.35">
      <c r="A70" s="249"/>
      <c r="B70" s="262"/>
      <c r="C70" s="267"/>
      <c r="D70" s="267"/>
      <c r="E70" s="265"/>
      <c r="F70" s="38"/>
      <c r="G70" s="38"/>
      <c r="H70" s="36"/>
      <c r="I70" s="36"/>
      <c r="J70" s="36"/>
      <c r="K70" s="36"/>
      <c r="L70" s="36">
        <f>SUM(H70:K70)</f>
        <v>0</v>
      </c>
      <c r="M70" s="356"/>
      <c r="N70" s="36"/>
      <c r="O70" s="98"/>
      <c r="P70" s="38"/>
    </row>
    <row r="71" spans="1:16" ht="18" customHeight="1" thickTop="1" thickBot="1" x14ac:dyDescent="0.35">
      <c r="A71" s="250"/>
      <c r="B71" s="263"/>
      <c r="C71" s="268"/>
      <c r="D71" s="268"/>
      <c r="E71" s="266"/>
      <c r="F71" s="251"/>
      <c r="G71" s="252"/>
      <c r="H71" s="57">
        <f>SUM(H66:H70)</f>
        <v>500</v>
      </c>
      <c r="I71" s="57">
        <f t="shared" ref="I71:L71" si="10">SUM(I66:I70)</f>
        <v>11000</v>
      </c>
      <c r="J71" s="57">
        <f t="shared" si="10"/>
        <v>3000</v>
      </c>
      <c r="K71" s="57">
        <f t="shared" si="10"/>
        <v>0</v>
      </c>
      <c r="L71" s="57">
        <f t="shared" si="10"/>
        <v>14500</v>
      </c>
      <c r="M71" s="57"/>
      <c r="N71" s="57">
        <f>M66-L71</f>
        <v>0</v>
      </c>
      <c r="O71" s="111"/>
      <c r="P71" s="14">
        <f>SUM(P66:P70)</f>
        <v>1500</v>
      </c>
    </row>
    <row r="72" spans="1:16" ht="15" thickTop="1" x14ac:dyDescent="0.3">
      <c r="A72" s="248">
        <v>12</v>
      </c>
      <c r="B72" s="283" t="s">
        <v>804</v>
      </c>
      <c r="C72" s="256" t="s">
        <v>119</v>
      </c>
      <c r="D72" s="257" t="s">
        <v>553</v>
      </c>
      <c r="E72" s="292" t="s">
        <v>803</v>
      </c>
      <c r="F72" s="15">
        <v>6999</v>
      </c>
      <c r="G72" s="28" t="s">
        <v>791</v>
      </c>
      <c r="H72" s="4">
        <v>500</v>
      </c>
      <c r="I72" s="4">
        <v>3000</v>
      </c>
      <c r="J72" s="4">
        <v>3000</v>
      </c>
      <c r="K72" s="4"/>
      <c r="L72" s="4">
        <f>SUM(H72:K72)</f>
        <v>6500</v>
      </c>
      <c r="M72" s="340">
        <v>14500</v>
      </c>
      <c r="N72" s="4"/>
      <c r="O72" s="89"/>
      <c r="P72" s="15">
        <v>1500</v>
      </c>
    </row>
    <row r="73" spans="1:16" x14ac:dyDescent="0.3">
      <c r="A73" s="241"/>
      <c r="B73" s="284"/>
      <c r="C73" s="257"/>
      <c r="D73" s="257"/>
      <c r="E73" s="287"/>
      <c r="F73" s="16"/>
      <c r="G73" s="27"/>
      <c r="H73" s="4"/>
      <c r="I73" s="4"/>
      <c r="J73" s="4"/>
      <c r="K73" s="4"/>
      <c r="L73" s="4">
        <f>SUM(H73:K73)</f>
        <v>0</v>
      </c>
      <c r="M73" s="340"/>
      <c r="N73" s="4"/>
      <c r="O73" s="72"/>
      <c r="P73" s="16"/>
    </row>
    <row r="74" spans="1:16" x14ac:dyDescent="0.3">
      <c r="A74" s="241"/>
      <c r="B74" s="284"/>
      <c r="C74" s="257"/>
      <c r="D74" s="257"/>
      <c r="E74" s="287"/>
      <c r="F74" s="16"/>
      <c r="G74" s="18"/>
      <c r="H74" s="4"/>
      <c r="I74" s="4"/>
      <c r="J74" s="4"/>
      <c r="K74" s="4"/>
      <c r="L74" s="4">
        <f>SUM(H74:K74)</f>
        <v>0</v>
      </c>
      <c r="M74" s="340"/>
      <c r="N74" s="4"/>
      <c r="O74" s="91"/>
      <c r="P74" s="16"/>
    </row>
    <row r="75" spans="1:16" x14ac:dyDescent="0.3">
      <c r="A75" s="241"/>
      <c r="B75" s="284"/>
      <c r="C75" s="257"/>
      <c r="D75" s="257"/>
      <c r="E75" s="287"/>
      <c r="F75" s="16"/>
      <c r="G75" s="16"/>
      <c r="H75" s="4"/>
      <c r="I75" s="4"/>
      <c r="J75" s="4"/>
      <c r="K75" s="4"/>
      <c r="L75" s="4">
        <f>SUM(H75:K75)</f>
        <v>0</v>
      </c>
      <c r="M75" s="340"/>
      <c r="N75" s="4"/>
      <c r="O75" s="72"/>
      <c r="P75" s="16"/>
    </row>
    <row r="76" spans="1:16" ht="15" thickBot="1" x14ac:dyDescent="0.35">
      <c r="A76" s="241"/>
      <c r="B76" s="284"/>
      <c r="C76" s="257"/>
      <c r="D76" s="257"/>
      <c r="E76" s="287"/>
      <c r="F76" s="17"/>
      <c r="G76" s="17"/>
      <c r="H76" s="4"/>
      <c r="I76" s="4"/>
      <c r="J76" s="4"/>
      <c r="K76" s="4"/>
      <c r="L76" s="4">
        <f>SUM(H76:K76)</f>
        <v>0</v>
      </c>
      <c r="M76" s="340"/>
      <c r="N76" s="4"/>
      <c r="O76" s="82"/>
      <c r="P76" s="17"/>
    </row>
    <row r="77" spans="1:16" ht="15.6" thickTop="1" thickBot="1" x14ac:dyDescent="0.35">
      <c r="A77" s="242"/>
      <c r="B77" s="285"/>
      <c r="C77" s="258"/>
      <c r="D77" s="258"/>
      <c r="E77" s="288"/>
      <c r="F77" s="243"/>
      <c r="G77" s="244"/>
      <c r="H77" s="56">
        <f>SUM(H72:H76)</f>
        <v>500</v>
      </c>
      <c r="I77" s="56">
        <f t="shared" ref="I77:L77" si="11">SUM(I72:I76)</f>
        <v>3000</v>
      </c>
      <c r="J77" s="56">
        <f t="shared" si="11"/>
        <v>3000</v>
      </c>
      <c r="K77" s="56">
        <f t="shared" si="11"/>
        <v>0</v>
      </c>
      <c r="L77" s="56">
        <f t="shared" si="11"/>
        <v>6500</v>
      </c>
      <c r="M77" s="56"/>
      <c r="N77" s="56">
        <f>M72-L77</f>
        <v>8000</v>
      </c>
      <c r="O77" s="100"/>
      <c r="P77" s="190">
        <f>SUM(P72:P76)</f>
        <v>1500</v>
      </c>
    </row>
    <row r="78" spans="1:16" ht="15" thickTop="1" x14ac:dyDescent="0.3">
      <c r="A78" s="260">
        <v>13</v>
      </c>
      <c r="B78" s="261" t="s">
        <v>805</v>
      </c>
      <c r="C78" s="280" t="s">
        <v>193</v>
      </c>
      <c r="D78" s="267" t="s">
        <v>552</v>
      </c>
      <c r="E78" s="296" t="s">
        <v>807</v>
      </c>
      <c r="F78" s="33">
        <v>7003</v>
      </c>
      <c r="G78" s="49" t="s">
        <v>806</v>
      </c>
      <c r="H78" s="36">
        <v>500</v>
      </c>
      <c r="I78" s="36">
        <v>11000</v>
      </c>
      <c r="J78" s="36">
        <v>3000</v>
      </c>
      <c r="K78" s="36"/>
      <c r="L78" s="36">
        <f>SUM(H78:K78)</f>
        <v>14500</v>
      </c>
      <c r="M78" s="356">
        <v>14500</v>
      </c>
      <c r="N78" s="36"/>
      <c r="O78" s="96" t="s">
        <v>240</v>
      </c>
      <c r="P78" s="33">
        <v>1500</v>
      </c>
    </row>
    <row r="79" spans="1:16" x14ac:dyDescent="0.3">
      <c r="A79" s="249"/>
      <c r="B79" s="262"/>
      <c r="C79" s="267"/>
      <c r="D79" s="267"/>
      <c r="E79" s="265"/>
      <c r="F79" s="31"/>
      <c r="G79" s="35"/>
      <c r="H79" s="36"/>
      <c r="I79" s="36"/>
      <c r="J79" s="36"/>
      <c r="K79" s="36"/>
      <c r="L79" s="36">
        <f>SUM(H79:K79)</f>
        <v>0</v>
      </c>
      <c r="M79" s="356"/>
      <c r="N79" s="36"/>
      <c r="O79" s="80"/>
      <c r="P79" s="31"/>
    </row>
    <row r="80" spans="1:16" x14ac:dyDescent="0.3">
      <c r="A80" s="249"/>
      <c r="B80" s="262"/>
      <c r="C80" s="267"/>
      <c r="D80" s="267"/>
      <c r="E80" s="265"/>
      <c r="F80" s="31"/>
      <c r="G80" s="32"/>
      <c r="H80" s="36"/>
      <c r="I80" s="36"/>
      <c r="J80" s="36"/>
      <c r="K80" s="36"/>
      <c r="L80" s="36">
        <f>SUM(H80:K80)</f>
        <v>0</v>
      </c>
      <c r="M80" s="356"/>
      <c r="N80" s="36"/>
      <c r="O80" s="97"/>
      <c r="P80" s="31"/>
    </row>
    <row r="81" spans="1:16" x14ac:dyDescent="0.3">
      <c r="A81" s="249"/>
      <c r="B81" s="262"/>
      <c r="C81" s="267"/>
      <c r="D81" s="267"/>
      <c r="E81" s="265"/>
      <c r="F81" s="31"/>
      <c r="G81" s="31"/>
      <c r="H81" s="36"/>
      <c r="I81" s="36"/>
      <c r="J81" s="36"/>
      <c r="K81" s="36"/>
      <c r="L81" s="36">
        <f>SUM(H81:K81)</f>
        <v>0</v>
      </c>
      <c r="M81" s="356"/>
      <c r="N81" s="36"/>
      <c r="O81" s="80"/>
      <c r="P81" s="31"/>
    </row>
    <row r="82" spans="1:16" ht="15" thickBot="1" x14ac:dyDescent="0.35">
      <c r="A82" s="249"/>
      <c r="B82" s="262"/>
      <c r="C82" s="267"/>
      <c r="D82" s="267"/>
      <c r="E82" s="265"/>
      <c r="F82" s="38"/>
      <c r="G82" s="38"/>
      <c r="H82" s="36"/>
      <c r="I82" s="36"/>
      <c r="J82" s="36"/>
      <c r="K82" s="36"/>
      <c r="L82" s="36">
        <f>SUM(H82:K82)</f>
        <v>0</v>
      </c>
      <c r="M82" s="356"/>
      <c r="N82" s="36"/>
      <c r="O82" s="98"/>
      <c r="P82" s="38"/>
    </row>
    <row r="83" spans="1:16" ht="15.6" thickTop="1" thickBot="1" x14ac:dyDescent="0.35">
      <c r="A83" s="250"/>
      <c r="B83" s="263"/>
      <c r="C83" s="268"/>
      <c r="D83" s="268"/>
      <c r="E83" s="266"/>
      <c r="F83" s="251"/>
      <c r="G83" s="252"/>
      <c r="H83" s="57">
        <f>SUM(H78:H82)</f>
        <v>500</v>
      </c>
      <c r="I83" s="57">
        <f t="shared" ref="I83:L83" si="12">SUM(I78:I82)</f>
        <v>11000</v>
      </c>
      <c r="J83" s="57">
        <f t="shared" si="12"/>
        <v>3000</v>
      </c>
      <c r="K83" s="57">
        <f t="shared" si="12"/>
        <v>0</v>
      </c>
      <c r="L83" s="57">
        <f t="shared" si="12"/>
        <v>14500</v>
      </c>
      <c r="M83" s="57"/>
      <c r="N83" s="57">
        <f>M78-L83</f>
        <v>0</v>
      </c>
      <c r="O83" s="111"/>
      <c r="P83" s="14">
        <f>SUM(P78:P82)</f>
        <v>1500</v>
      </c>
    </row>
    <row r="84" spans="1:16" ht="15" thickTop="1" x14ac:dyDescent="0.3">
      <c r="A84" s="260">
        <v>14</v>
      </c>
      <c r="B84" s="279" t="s">
        <v>903</v>
      </c>
      <c r="C84" s="280" t="s">
        <v>104</v>
      </c>
      <c r="D84" s="267" t="s">
        <v>552</v>
      </c>
      <c r="E84" s="296" t="s">
        <v>904</v>
      </c>
      <c r="F84" s="33">
        <v>7039</v>
      </c>
      <c r="G84" s="49" t="s">
        <v>890</v>
      </c>
      <c r="H84" s="36">
        <v>500</v>
      </c>
      <c r="I84" s="36">
        <v>11000</v>
      </c>
      <c r="J84" s="36">
        <v>3000</v>
      </c>
      <c r="K84" s="36"/>
      <c r="L84" s="36">
        <f>SUM(H84:K84)</f>
        <v>14500</v>
      </c>
      <c r="M84" s="356">
        <v>14500</v>
      </c>
      <c r="N84" s="36"/>
      <c r="O84" s="96"/>
      <c r="P84" s="33">
        <v>1500</v>
      </c>
    </row>
    <row r="85" spans="1:16" x14ac:dyDescent="0.3">
      <c r="A85" s="249"/>
      <c r="B85" s="277"/>
      <c r="C85" s="267"/>
      <c r="D85" s="267"/>
      <c r="E85" s="265"/>
      <c r="F85" s="31"/>
      <c r="G85" s="35"/>
      <c r="H85" s="36"/>
      <c r="I85" s="36"/>
      <c r="J85" s="36"/>
      <c r="K85" s="36"/>
      <c r="L85" s="36">
        <f>SUM(H85:K85)</f>
        <v>0</v>
      </c>
      <c r="M85" s="356"/>
      <c r="N85" s="36"/>
      <c r="O85" s="80"/>
      <c r="P85" s="31"/>
    </row>
    <row r="86" spans="1:16" x14ac:dyDescent="0.3">
      <c r="A86" s="249"/>
      <c r="B86" s="277"/>
      <c r="C86" s="267"/>
      <c r="D86" s="267"/>
      <c r="E86" s="265"/>
      <c r="F86" s="31"/>
      <c r="G86" s="32"/>
      <c r="H86" s="36"/>
      <c r="I86" s="36"/>
      <c r="J86" s="36"/>
      <c r="K86" s="36"/>
      <c r="L86" s="36">
        <f>SUM(H86:K86)</f>
        <v>0</v>
      </c>
      <c r="M86" s="356"/>
      <c r="N86" s="36"/>
      <c r="O86" s="97"/>
      <c r="P86" s="31"/>
    </row>
    <row r="87" spans="1:16" x14ac:dyDescent="0.3">
      <c r="A87" s="249"/>
      <c r="B87" s="277"/>
      <c r="C87" s="267"/>
      <c r="D87" s="267"/>
      <c r="E87" s="265"/>
      <c r="F87" s="31"/>
      <c r="G87" s="31"/>
      <c r="H87" s="36"/>
      <c r="I87" s="36"/>
      <c r="J87" s="36"/>
      <c r="K87" s="36"/>
      <c r="L87" s="36">
        <f>SUM(H87:K87)</f>
        <v>0</v>
      </c>
      <c r="M87" s="356"/>
      <c r="N87" s="36"/>
      <c r="O87" s="80"/>
      <c r="P87" s="31"/>
    </row>
    <row r="88" spans="1:16" ht="15" thickBot="1" x14ac:dyDescent="0.35">
      <c r="A88" s="249"/>
      <c r="B88" s="277"/>
      <c r="C88" s="267"/>
      <c r="D88" s="267"/>
      <c r="E88" s="265"/>
      <c r="F88" s="38"/>
      <c r="G88" s="38"/>
      <c r="H88" s="36"/>
      <c r="I88" s="36"/>
      <c r="J88" s="36"/>
      <c r="K88" s="36"/>
      <c r="L88" s="36">
        <f>SUM(H88:K88)</f>
        <v>0</v>
      </c>
      <c r="M88" s="356"/>
      <c r="N88" s="36"/>
      <c r="O88" s="98"/>
      <c r="P88" s="38"/>
    </row>
    <row r="89" spans="1:16" ht="15.6" thickTop="1" thickBot="1" x14ac:dyDescent="0.35">
      <c r="A89" s="250"/>
      <c r="B89" s="278"/>
      <c r="C89" s="268"/>
      <c r="D89" s="268"/>
      <c r="E89" s="266"/>
      <c r="F89" s="251"/>
      <c r="G89" s="252"/>
      <c r="H89" s="57">
        <f>SUM(H84:H88)</f>
        <v>500</v>
      </c>
      <c r="I89" s="57">
        <f t="shared" ref="I89:L89" si="13">SUM(I84:I88)</f>
        <v>11000</v>
      </c>
      <c r="J89" s="57">
        <f t="shared" si="13"/>
        <v>3000</v>
      </c>
      <c r="K89" s="57">
        <f t="shared" si="13"/>
        <v>0</v>
      </c>
      <c r="L89" s="57">
        <f t="shared" si="13"/>
        <v>14500</v>
      </c>
      <c r="M89" s="57"/>
      <c r="N89" s="57">
        <f>M84-L89</f>
        <v>0</v>
      </c>
      <c r="O89" s="111"/>
      <c r="P89" s="14">
        <f>SUM(P84:P88)</f>
        <v>1500</v>
      </c>
    </row>
    <row r="90" spans="1:16" ht="15.75" customHeight="1" thickTop="1" x14ac:dyDescent="0.3">
      <c r="A90" s="248">
        <v>15</v>
      </c>
      <c r="B90" s="253" t="s">
        <v>905</v>
      </c>
      <c r="C90" s="256" t="s">
        <v>193</v>
      </c>
      <c r="D90" s="257" t="s">
        <v>552</v>
      </c>
      <c r="E90" s="292" t="s">
        <v>906</v>
      </c>
      <c r="F90" s="15">
        <v>7050</v>
      </c>
      <c r="G90" s="28" t="s">
        <v>869</v>
      </c>
      <c r="H90" s="4">
        <v>500</v>
      </c>
      <c r="I90" s="4">
        <v>5000</v>
      </c>
      <c r="J90" s="4">
        <v>3000</v>
      </c>
      <c r="K90" s="4"/>
      <c r="L90" s="4">
        <f>SUM(H90:K90)</f>
        <v>8500</v>
      </c>
      <c r="M90" s="340">
        <v>14500</v>
      </c>
      <c r="N90" s="4"/>
      <c r="O90" s="89"/>
      <c r="P90" s="15">
        <v>1500</v>
      </c>
    </row>
    <row r="91" spans="1:16" ht="21.75" customHeight="1" x14ac:dyDescent="0.3">
      <c r="A91" s="241"/>
      <c r="B91" s="254"/>
      <c r="C91" s="257"/>
      <c r="D91" s="257"/>
      <c r="E91" s="287"/>
      <c r="F91" s="16"/>
      <c r="G91" s="27"/>
      <c r="H91" s="4"/>
      <c r="I91" s="4"/>
      <c r="J91" s="4"/>
      <c r="K91" s="4"/>
      <c r="L91" s="4">
        <f>SUM(H91:K91)</f>
        <v>0</v>
      </c>
      <c r="M91" s="340"/>
      <c r="N91" s="4"/>
      <c r="O91" s="72"/>
      <c r="P91" s="16"/>
    </row>
    <row r="92" spans="1:16" x14ac:dyDescent="0.3">
      <c r="A92" s="241"/>
      <c r="B92" s="254"/>
      <c r="C92" s="257"/>
      <c r="D92" s="257"/>
      <c r="E92" s="287"/>
      <c r="F92" s="16"/>
      <c r="G92" s="18"/>
      <c r="H92" s="4"/>
      <c r="I92" s="4"/>
      <c r="J92" s="4"/>
      <c r="K92" s="4"/>
      <c r="L92" s="4">
        <f>SUM(H92:K92)</f>
        <v>0</v>
      </c>
      <c r="M92" s="340"/>
      <c r="N92" s="4"/>
      <c r="O92" s="91"/>
      <c r="P92" s="16"/>
    </row>
    <row r="93" spans="1:16" x14ac:dyDescent="0.3">
      <c r="A93" s="241"/>
      <c r="B93" s="254"/>
      <c r="C93" s="257"/>
      <c r="D93" s="257"/>
      <c r="E93" s="287"/>
      <c r="F93" s="16"/>
      <c r="G93" s="16"/>
      <c r="H93" s="4"/>
      <c r="I93" s="4"/>
      <c r="J93" s="4"/>
      <c r="K93" s="4"/>
      <c r="L93" s="4">
        <f>SUM(H93:K93)</f>
        <v>0</v>
      </c>
      <c r="M93" s="340"/>
      <c r="N93" s="4"/>
      <c r="O93" s="72"/>
      <c r="P93" s="16"/>
    </row>
    <row r="94" spans="1:16" ht="15" thickBot="1" x14ac:dyDescent="0.35">
      <c r="A94" s="241"/>
      <c r="B94" s="254"/>
      <c r="C94" s="257"/>
      <c r="D94" s="257"/>
      <c r="E94" s="287"/>
      <c r="F94" s="17"/>
      <c r="G94" s="17"/>
      <c r="H94" s="4"/>
      <c r="I94" s="4"/>
      <c r="J94" s="4"/>
      <c r="K94" s="4"/>
      <c r="L94" s="4">
        <f>SUM(H94:K94)</f>
        <v>0</v>
      </c>
      <c r="M94" s="340"/>
      <c r="N94" s="4"/>
      <c r="O94" s="82"/>
      <c r="P94" s="17"/>
    </row>
    <row r="95" spans="1:16" ht="15.6" thickTop="1" thickBot="1" x14ac:dyDescent="0.35">
      <c r="A95" s="242"/>
      <c r="B95" s="255"/>
      <c r="C95" s="258"/>
      <c r="D95" s="258"/>
      <c r="E95" s="288"/>
      <c r="F95" s="243"/>
      <c r="G95" s="244"/>
      <c r="H95" s="56">
        <f>SUM(H90:H94)</f>
        <v>500</v>
      </c>
      <c r="I95" s="56">
        <f t="shared" ref="I95:L95" si="14">SUM(I90:I94)</f>
        <v>5000</v>
      </c>
      <c r="J95" s="56">
        <f t="shared" si="14"/>
        <v>3000</v>
      </c>
      <c r="K95" s="56">
        <f t="shared" si="14"/>
        <v>0</v>
      </c>
      <c r="L95" s="56">
        <f t="shared" si="14"/>
        <v>8500</v>
      </c>
      <c r="M95" s="56"/>
      <c r="N95" s="56">
        <f>M90-L95</f>
        <v>6000</v>
      </c>
      <c r="O95" s="100"/>
      <c r="P95" s="8">
        <f>SUM(P90:P94)</f>
        <v>1500</v>
      </c>
    </row>
    <row r="96" spans="1:16" ht="15" thickTop="1" x14ac:dyDescent="0.3">
      <c r="A96" s="248">
        <v>16</v>
      </c>
      <c r="B96" s="253" t="s">
        <v>907</v>
      </c>
      <c r="C96" s="256" t="s">
        <v>846</v>
      </c>
      <c r="D96" s="257" t="s">
        <v>552</v>
      </c>
      <c r="E96" s="292" t="s">
        <v>815</v>
      </c>
      <c r="F96" s="15">
        <v>7055</v>
      </c>
      <c r="G96" s="28" t="s">
        <v>878</v>
      </c>
      <c r="H96" s="4">
        <v>500</v>
      </c>
      <c r="I96" s="4">
        <v>3000</v>
      </c>
      <c r="J96" s="4"/>
      <c r="K96" s="4"/>
      <c r="L96" s="4">
        <f>SUM(H96:K96)</f>
        <v>3500</v>
      </c>
      <c r="M96" s="340">
        <v>14500</v>
      </c>
      <c r="N96" s="4"/>
      <c r="O96" s="89"/>
      <c r="P96" s="15">
        <v>1500</v>
      </c>
    </row>
    <row r="97" spans="1:16" x14ac:dyDescent="0.3">
      <c r="A97" s="241"/>
      <c r="B97" s="254"/>
      <c r="C97" s="257"/>
      <c r="D97" s="257"/>
      <c r="E97" s="287"/>
      <c r="F97" s="16"/>
      <c r="G97" s="27"/>
      <c r="H97" s="4"/>
      <c r="I97" s="4"/>
      <c r="J97" s="4"/>
      <c r="K97" s="4"/>
      <c r="L97" s="4">
        <f>SUM(H97:K97)</f>
        <v>0</v>
      </c>
      <c r="M97" s="340"/>
      <c r="N97" s="4"/>
      <c r="O97" s="72"/>
      <c r="P97" s="16"/>
    </row>
    <row r="98" spans="1:16" x14ac:dyDescent="0.3">
      <c r="A98" s="241"/>
      <c r="B98" s="254"/>
      <c r="C98" s="257"/>
      <c r="D98" s="257"/>
      <c r="E98" s="287"/>
      <c r="F98" s="16"/>
      <c r="G98" s="18"/>
      <c r="H98" s="4"/>
      <c r="I98" s="4"/>
      <c r="J98" s="4"/>
      <c r="K98" s="4"/>
      <c r="L98" s="4">
        <f>SUM(H98:K98)</f>
        <v>0</v>
      </c>
      <c r="M98" s="340"/>
      <c r="N98" s="4"/>
      <c r="O98" s="91"/>
      <c r="P98" s="16"/>
    </row>
    <row r="99" spans="1:16" x14ac:dyDescent="0.3">
      <c r="A99" s="241"/>
      <c r="B99" s="254"/>
      <c r="C99" s="257"/>
      <c r="D99" s="257"/>
      <c r="E99" s="287"/>
      <c r="F99" s="16"/>
      <c r="G99" s="16"/>
      <c r="H99" s="4"/>
      <c r="I99" s="4"/>
      <c r="J99" s="4"/>
      <c r="K99" s="4"/>
      <c r="L99" s="4">
        <f>SUM(H99:K99)</f>
        <v>0</v>
      </c>
      <c r="M99" s="340"/>
      <c r="N99" s="4"/>
      <c r="O99" s="72"/>
      <c r="P99" s="16"/>
    </row>
    <row r="100" spans="1:16" ht="15" thickBot="1" x14ac:dyDescent="0.35">
      <c r="A100" s="241"/>
      <c r="B100" s="254"/>
      <c r="C100" s="257"/>
      <c r="D100" s="257"/>
      <c r="E100" s="287"/>
      <c r="F100" s="17"/>
      <c r="G100" s="17"/>
      <c r="H100" s="4"/>
      <c r="I100" s="4"/>
      <c r="J100" s="4"/>
      <c r="K100" s="4"/>
      <c r="L100" s="4">
        <f>SUM(H100:K100)</f>
        <v>0</v>
      </c>
      <c r="M100" s="340"/>
      <c r="N100" s="4"/>
      <c r="O100" s="82"/>
      <c r="P100" s="17"/>
    </row>
    <row r="101" spans="1:16" ht="15.6" thickTop="1" thickBot="1" x14ac:dyDescent="0.35">
      <c r="A101" s="242"/>
      <c r="B101" s="255"/>
      <c r="C101" s="258"/>
      <c r="D101" s="258"/>
      <c r="E101" s="288"/>
      <c r="F101" s="243"/>
      <c r="G101" s="244"/>
      <c r="H101" s="56">
        <f>SUM(H96:H100)</f>
        <v>500</v>
      </c>
      <c r="I101" s="56">
        <f t="shared" ref="I101:L101" si="15">SUM(I96:I100)</f>
        <v>3000</v>
      </c>
      <c r="J101" s="56">
        <f t="shared" si="15"/>
        <v>0</v>
      </c>
      <c r="K101" s="56">
        <f t="shared" si="15"/>
        <v>0</v>
      </c>
      <c r="L101" s="56">
        <f t="shared" si="15"/>
        <v>3500</v>
      </c>
      <c r="M101" s="56"/>
      <c r="N101" s="56">
        <f>M96-L101</f>
        <v>11000</v>
      </c>
      <c r="O101" s="100"/>
      <c r="P101" s="190">
        <f>SUM(P96:P100)</f>
        <v>1500</v>
      </c>
    </row>
    <row r="102" spans="1:16" ht="15" thickTop="1" x14ac:dyDescent="0.3">
      <c r="A102" s="248">
        <v>17</v>
      </c>
      <c r="B102" s="389"/>
      <c r="C102" s="280" t="s">
        <v>902</v>
      </c>
      <c r="D102" s="257" t="s">
        <v>553</v>
      </c>
      <c r="E102" s="292" t="s">
        <v>815</v>
      </c>
      <c r="F102" s="15"/>
      <c r="G102" s="28"/>
      <c r="H102" s="4"/>
      <c r="I102" s="4"/>
      <c r="J102" s="4"/>
      <c r="K102" s="4"/>
      <c r="L102" s="4">
        <f>SUM(H102:K102)</f>
        <v>0</v>
      </c>
      <c r="M102" s="340"/>
      <c r="N102" s="4"/>
      <c r="O102" s="89" t="s">
        <v>295</v>
      </c>
      <c r="P102" s="15"/>
    </row>
    <row r="103" spans="1:16" x14ac:dyDescent="0.3">
      <c r="A103" s="241"/>
      <c r="B103" s="267"/>
      <c r="C103" s="267"/>
      <c r="D103" s="257"/>
      <c r="E103" s="287"/>
      <c r="F103" s="16"/>
      <c r="G103" s="27"/>
      <c r="H103" s="4"/>
      <c r="I103" s="4"/>
      <c r="J103" s="4"/>
      <c r="K103" s="4"/>
      <c r="L103" s="4">
        <f>SUM(H103:K103)</f>
        <v>0</v>
      </c>
      <c r="M103" s="340"/>
      <c r="N103" s="4"/>
      <c r="O103" s="72"/>
      <c r="P103" s="16"/>
    </row>
    <row r="104" spans="1:16" x14ac:dyDescent="0.3">
      <c r="A104" s="241"/>
      <c r="B104" s="267"/>
      <c r="C104" s="267"/>
      <c r="D104" s="257"/>
      <c r="E104" s="287"/>
      <c r="F104" s="16"/>
      <c r="G104" s="18"/>
      <c r="H104" s="4"/>
      <c r="I104" s="4"/>
      <c r="J104" s="4"/>
      <c r="K104" s="4"/>
      <c r="L104" s="4">
        <f>SUM(H104:K104)</f>
        <v>0</v>
      </c>
      <c r="M104" s="340"/>
      <c r="N104" s="4"/>
      <c r="O104" s="91"/>
      <c r="P104" s="16"/>
    </row>
    <row r="105" spans="1:16" x14ac:dyDescent="0.3">
      <c r="A105" s="241"/>
      <c r="B105" s="267"/>
      <c r="C105" s="267"/>
      <c r="D105" s="257"/>
      <c r="E105" s="287"/>
      <c r="F105" s="16"/>
      <c r="G105" s="16"/>
      <c r="H105" s="4"/>
      <c r="I105" s="4"/>
      <c r="J105" s="4"/>
      <c r="K105" s="4"/>
      <c r="L105" s="4">
        <f>SUM(H105:K105)</f>
        <v>0</v>
      </c>
      <c r="M105" s="340"/>
      <c r="N105" s="4"/>
      <c r="O105" s="72"/>
      <c r="P105" s="16"/>
    </row>
    <row r="106" spans="1:16" ht="15" thickBot="1" x14ac:dyDescent="0.35">
      <c r="A106" s="241"/>
      <c r="B106" s="267"/>
      <c r="C106" s="267"/>
      <c r="D106" s="257"/>
      <c r="E106" s="287"/>
      <c r="F106" s="17"/>
      <c r="G106" s="17"/>
      <c r="H106" s="4"/>
      <c r="I106" s="4"/>
      <c r="J106" s="4"/>
      <c r="K106" s="4"/>
      <c r="L106" s="4">
        <f>SUM(H106:K106)</f>
        <v>0</v>
      </c>
      <c r="M106" s="340"/>
      <c r="N106" s="4"/>
      <c r="O106" s="82"/>
      <c r="P106" s="17"/>
    </row>
    <row r="107" spans="1:16" ht="15.6" thickTop="1" thickBot="1" x14ac:dyDescent="0.35">
      <c r="A107" s="242"/>
      <c r="B107" s="268"/>
      <c r="C107" s="268"/>
      <c r="D107" s="258"/>
      <c r="E107" s="288"/>
      <c r="F107" s="243"/>
      <c r="G107" s="244"/>
      <c r="H107" s="56">
        <f>SUM(H102:H106)</f>
        <v>0</v>
      </c>
      <c r="I107" s="56">
        <f t="shared" ref="I107:L107" si="16">SUM(I102:I106)</f>
        <v>0</v>
      </c>
      <c r="J107" s="56">
        <f t="shared" si="16"/>
        <v>0</v>
      </c>
      <c r="K107" s="56">
        <f t="shared" si="16"/>
        <v>0</v>
      </c>
      <c r="L107" s="56">
        <f t="shared" si="16"/>
        <v>0</v>
      </c>
      <c r="M107" s="56"/>
      <c r="N107" s="56">
        <f>M102-L107</f>
        <v>0</v>
      </c>
      <c r="O107" s="100"/>
      <c r="P107" s="190">
        <f>SUM(P102:P106)</f>
        <v>0</v>
      </c>
    </row>
    <row r="108" spans="1:16" ht="15" thickTop="1" x14ac:dyDescent="0.3">
      <c r="A108" s="64"/>
      <c r="B108" s="226"/>
      <c r="C108" s="226"/>
      <c r="D108" s="69"/>
      <c r="E108" s="65"/>
      <c r="F108" s="66"/>
      <c r="G108" s="67"/>
      <c r="H108" s="56"/>
      <c r="I108" s="56"/>
      <c r="J108" s="56"/>
      <c r="K108" s="56"/>
      <c r="L108" s="56"/>
      <c r="M108" s="56"/>
      <c r="N108" s="56"/>
      <c r="O108" s="122"/>
      <c r="P108" s="227"/>
    </row>
    <row r="109" spans="1:16" ht="15.6" x14ac:dyDescent="0.3">
      <c r="A109" s="372" t="s">
        <v>15</v>
      </c>
      <c r="B109" s="373"/>
      <c r="C109" s="373"/>
      <c r="D109" s="373"/>
      <c r="E109" s="373"/>
      <c r="F109" s="373"/>
      <c r="G109" s="374"/>
      <c r="H109" s="2">
        <f t="shared" ref="H109:L109" si="17">+H71+H65+H59+H53+H47+H41+H35+H29+H23+H17+H11+H77+H83+H89+H95+H101+H107</f>
        <v>8000</v>
      </c>
      <c r="I109" s="2">
        <f t="shared" si="17"/>
        <v>105500</v>
      </c>
      <c r="J109" s="2">
        <f t="shared" si="17"/>
        <v>42000</v>
      </c>
      <c r="K109" s="2">
        <f t="shared" si="17"/>
        <v>0</v>
      </c>
      <c r="L109" s="2">
        <f t="shared" si="17"/>
        <v>155500</v>
      </c>
      <c r="M109" s="2">
        <f>SUM(M6:M89)+M90+M96+M102</f>
        <v>232000</v>
      </c>
      <c r="N109" s="2">
        <f>+N71+N65+N59+N53+N47+N41+N35+N29+N23+N17+N11+N77+N83+N89+N95+N101+N107</f>
        <v>76500</v>
      </c>
      <c r="O109" s="83"/>
      <c r="P109" s="2">
        <f>+P71+P65+P59+P53+P47+P41+P35+P29+P23+P17+P11+P77+P83+P89+P95+P101+P107</f>
        <v>19500</v>
      </c>
    </row>
    <row r="111" spans="1:16" ht="15.6" x14ac:dyDescent="0.3">
      <c r="A111" s="1" t="s">
        <v>16</v>
      </c>
    </row>
    <row r="113" spans="3:4" x14ac:dyDescent="0.3">
      <c r="C113" t="s">
        <v>34</v>
      </c>
      <c r="D113">
        <v>2</v>
      </c>
    </row>
    <row r="114" spans="3:4" x14ac:dyDescent="0.3">
      <c r="C114" t="s">
        <v>51</v>
      </c>
      <c r="D114">
        <v>10</v>
      </c>
    </row>
    <row r="115" spans="3:4" x14ac:dyDescent="0.3">
      <c r="C115" t="s">
        <v>52</v>
      </c>
      <c r="D115">
        <v>0</v>
      </c>
    </row>
    <row r="116" spans="3:4" ht="18" x14ac:dyDescent="0.35">
      <c r="D116" s="158">
        <f>+D115+D114+D113</f>
        <v>12</v>
      </c>
    </row>
  </sheetData>
  <mergeCells count="124">
    <mergeCell ref="A102:A107"/>
    <mergeCell ref="B102:B107"/>
    <mergeCell ref="C102:C107"/>
    <mergeCell ref="D102:D107"/>
    <mergeCell ref="E102:E107"/>
    <mergeCell ref="M102:M106"/>
    <mergeCell ref="F107:G107"/>
    <mergeCell ref="A90:A95"/>
    <mergeCell ref="B90:B95"/>
    <mergeCell ref="C90:C95"/>
    <mergeCell ref="D90:D95"/>
    <mergeCell ref="E90:E95"/>
    <mergeCell ref="M90:M94"/>
    <mergeCell ref="F95:G95"/>
    <mergeCell ref="A96:A101"/>
    <mergeCell ref="B96:B101"/>
    <mergeCell ref="C96:C101"/>
    <mergeCell ref="D96:D101"/>
    <mergeCell ref="E96:E101"/>
    <mergeCell ref="M96:M100"/>
    <mergeCell ref="F101:G101"/>
    <mergeCell ref="C78:C83"/>
    <mergeCell ref="D78:D83"/>
    <mergeCell ref="E78:E83"/>
    <mergeCell ref="M78:M82"/>
    <mergeCell ref="F83:G83"/>
    <mergeCell ref="A1:O1"/>
    <mergeCell ref="A2:O2"/>
    <mergeCell ref="A3:O3"/>
    <mergeCell ref="A4:O4"/>
    <mergeCell ref="A6:A11"/>
    <mergeCell ref="B6:B11"/>
    <mergeCell ref="C6:C11"/>
    <mergeCell ref="D6:D11"/>
    <mergeCell ref="E6:E11"/>
    <mergeCell ref="M6:M10"/>
    <mergeCell ref="F11:G11"/>
    <mergeCell ref="M12:M16"/>
    <mergeCell ref="F17:G17"/>
    <mergeCell ref="A18:A23"/>
    <mergeCell ref="B18:B23"/>
    <mergeCell ref="C18:C23"/>
    <mergeCell ref="D18:D23"/>
    <mergeCell ref="E18:E23"/>
    <mergeCell ref="M18:M22"/>
    <mergeCell ref="F23:G23"/>
    <mergeCell ref="A12:A17"/>
    <mergeCell ref="B12:B17"/>
    <mergeCell ref="C12:C17"/>
    <mergeCell ref="D12:D17"/>
    <mergeCell ref="E12:E17"/>
    <mergeCell ref="M30:M34"/>
    <mergeCell ref="F35:G35"/>
    <mergeCell ref="A24:A29"/>
    <mergeCell ref="B24:B29"/>
    <mergeCell ref="C24:C29"/>
    <mergeCell ref="D24:D29"/>
    <mergeCell ref="E24:E29"/>
    <mergeCell ref="M24:M28"/>
    <mergeCell ref="F29:G29"/>
    <mergeCell ref="A30:A35"/>
    <mergeCell ref="B30:B35"/>
    <mergeCell ref="C30:C35"/>
    <mergeCell ref="D30:D35"/>
    <mergeCell ref="E30:E35"/>
    <mergeCell ref="M42:M46"/>
    <mergeCell ref="F47:G47"/>
    <mergeCell ref="A36:A41"/>
    <mergeCell ref="B36:B41"/>
    <mergeCell ref="C36:C41"/>
    <mergeCell ref="D36:D41"/>
    <mergeCell ref="E36:E41"/>
    <mergeCell ref="M36:M40"/>
    <mergeCell ref="F41:G41"/>
    <mergeCell ref="A42:A47"/>
    <mergeCell ref="B42:B47"/>
    <mergeCell ref="C42:C47"/>
    <mergeCell ref="D42:D47"/>
    <mergeCell ref="E42:E47"/>
    <mergeCell ref="M48:M52"/>
    <mergeCell ref="F53:G53"/>
    <mergeCell ref="A54:A59"/>
    <mergeCell ref="B54:B59"/>
    <mergeCell ref="C54:C59"/>
    <mergeCell ref="D54:D59"/>
    <mergeCell ref="E54:E59"/>
    <mergeCell ref="A48:A53"/>
    <mergeCell ref="B48:B53"/>
    <mergeCell ref="C48:C53"/>
    <mergeCell ref="D48:D53"/>
    <mergeCell ref="E48:E53"/>
    <mergeCell ref="M72:M76"/>
    <mergeCell ref="F77:G77"/>
    <mergeCell ref="A109:G109"/>
    <mergeCell ref="A66:A71"/>
    <mergeCell ref="B66:B71"/>
    <mergeCell ref="C66:C71"/>
    <mergeCell ref="D66:D71"/>
    <mergeCell ref="E66:E71"/>
    <mergeCell ref="A72:A77"/>
    <mergeCell ref="B72:B77"/>
    <mergeCell ref="C72:C77"/>
    <mergeCell ref="D72:D77"/>
    <mergeCell ref="E72:E77"/>
    <mergeCell ref="F71:G71"/>
    <mergeCell ref="A78:A83"/>
    <mergeCell ref="B78:B83"/>
    <mergeCell ref="M66:M70"/>
    <mergeCell ref="M84:M88"/>
    <mergeCell ref="F89:G89"/>
    <mergeCell ref="A84:A89"/>
    <mergeCell ref="B84:B89"/>
    <mergeCell ref="C84:C89"/>
    <mergeCell ref="D84:D89"/>
    <mergeCell ref="E84:E89"/>
    <mergeCell ref="A60:A65"/>
    <mergeCell ref="B60:B65"/>
    <mergeCell ref="C60:C65"/>
    <mergeCell ref="D60:D65"/>
    <mergeCell ref="E60:E65"/>
    <mergeCell ref="M60:M64"/>
    <mergeCell ref="F65:G65"/>
    <mergeCell ref="M54:M58"/>
    <mergeCell ref="F59:G59"/>
  </mergeCells>
  <pageMargins left="0.15748031496062992" right="0" top="0.15748031496062992" bottom="0.15748031496062992" header="0.23622047244094491" footer="0.15748031496062992"/>
  <pageSetup paperSize="9" scale="8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2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O6" sqref="O6"/>
    </sheetView>
  </sheetViews>
  <sheetFormatPr defaultRowHeight="14.4" x14ac:dyDescent="0.3"/>
  <cols>
    <col min="1" max="1" width="3.5546875" customWidth="1"/>
    <col min="2" max="2" width="31.5546875" customWidth="1"/>
    <col min="3" max="3" width="6.88671875" customWidth="1"/>
    <col min="4" max="4" width="7.6640625" style="146" customWidth="1"/>
    <col min="5" max="5" width="10.5546875" customWidth="1"/>
    <col min="6" max="6" width="8.6640625" customWidth="1"/>
    <col min="7" max="7" width="10" customWidth="1"/>
    <col min="8" max="8" width="8.6640625" customWidth="1"/>
    <col min="9" max="9" width="7" customWidth="1"/>
    <col min="10" max="10" width="9.88671875" customWidth="1"/>
    <col min="11" max="11" width="8.33203125" customWidth="1"/>
    <col min="12" max="12" width="10.109375" customWidth="1"/>
    <col min="13" max="13" width="11.109375" customWidth="1"/>
    <col min="14" max="14" width="11.88671875" customWidth="1"/>
    <col min="15" max="15" width="15" style="84" customWidth="1"/>
    <col min="16" max="16" width="8.88671875" customWidth="1"/>
  </cols>
  <sheetData>
    <row r="1" spans="1:16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</row>
    <row r="2" spans="1:16" ht="27.6" x14ac:dyDescent="0.45">
      <c r="A2" s="318" t="s">
        <v>11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</row>
    <row r="3" spans="1:16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</row>
    <row r="4" spans="1:16" ht="31.5" customHeight="1" x14ac:dyDescent="0.45">
      <c r="A4" s="395" t="s">
        <v>442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5"/>
      <c r="O4" s="395"/>
    </row>
    <row r="5" spans="1:16" ht="50.25" customHeight="1" thickBot="1" x14ac:dyDescent="0.35">
      <c r="A5" s="74" t="s">
        <v>0</v>
      </c>
      <c r="B5" s="75" t="s">
        <v>13</v>
      </c>
      <c r="C5" s="61" t="s">
        <v>14</v>
      </c>
      <c r="D5" s="76" t="s">
        <v>1</v>
      </c>
      <c r="E5" s="61" t="s">
        <v>2</v>
      </c>
      <c r="F5" s="61" t="s">
        <v>8</v>
      </c>
      <c r="G5" s="61" t="s">
        <v>9</v>
      </c>
      <c r="H5" s="61" t="s">
        <v>46</v>
      </c>
      <c r="I5" s="61" t="s">
        <v>3</v>
      </c>
      <c r="J5" s="61" t="s">
        <v>41</v>
      </c>
      <c r="K5" s="61" t="s">
        <v>45</v>
      </c>
      <c r="L5" s="61" t="s">
        <v>15</v>
      </c>
      <c r="M5" s="61" t="s">
        <v>49</v>
      </c>
      <c r="N5" s="61" t="s">
        <v>6</v>
      </c>
      <c r="O5" s="102" t="s">
        <v>7</v>
      </c>
      <c r="P5" s="61" t="s">
        <v>44</v>
      </c>
    </row>
    <row r="6" spans="1:16" ht="15" customHeight="1" thickTop="1" x14ac:dyDescent="0.3">
      <c r="A6" s="249">
        <v>1</v>
      </c>
      <c r="B6" s="389" t="s">
        <v>534</v>
      </c>
      <c r="C6" s="280" t="s">
        <v>217</v>
      </c>
      <c r="D6" s="383" t="s">
        <v>535</v>
      </c>
      <c r="E6" s="375" t="s">
        <v>456</v>
      </c>
      <c r="F6" s="34">
        <v>6805</v>
      </c>
      <c r="G6" s="59" t="s">
        <v>403</v>
      </c>
      <c r="H6" s="36">
        <v>500</v>
      </c>
      <c r="I6" s="36">
        <v>6500</v>
      </c>
      <c r="J6" s="36">
        <v>3000</v>
      </c>
      <c r="K6" s="36"/>
      <c r="L6" s="36">
        <f>SUM(H6:K6)</f>
        <v>10000</v>
      </c>
      <c r="M6" s="356">
        <v>17500</v>
      </c>
      <c r="N6" s="36"/>
      <c r="O6" s="94" t="s">
        <v>295</v>
      </c>
      <c r="P6" s="34"/>
    </row>
    <row r="7" spans="1:16" x14ac:dyDescent="0.3">
      <c r="A7" s="249"/>
      <c r="B7" s="267"/>
      <c r="C7" s="267"/>
      <c r="D7" s="383"/>
      <c r="E7" s="267"/>
      <c r="F7" s="36">
        <v>6806</v>
      </c>
      <c r="G7" s="36" t="s">
        <v>403</v>
      </c>
      <c r="H7" s="36"/>
      <c r="I7" s="36">
        <v>7500</v>
      </c>
      <c r="J7" s="36"/>
      <c r="K7" s="36"/>
      <c r="L7" s="36">
        <f>SUM(H7:K7)</f>
        <v>7500</v>
      </c>
      <c r="M7" s="356"/>
      <c r="N7" s="36"/>
      <c r="O7" s="73" t="s">
        <v>240</v>
      </c>
      <c r="P7" s="36"/>
    </row>
    <row r="8" spans="1:16" x14ac:dyDescent="0.3">
      <c r="A8" s="249"/>
      <c r="B8" s="267"/>
      <c r="C8" s="267"/>
      <c r="D8" s="383"/>
      <c r="E8" s="267"/>
      <c r="F8" s="31"/>
      <c r="G8" s="36"/>
      <c r="H8" s="36"/>
      <c r="I8" s="36"/>
      <c r="J8" s="36"/>
      <c r="K8" s="36"/>
      <c r="L8" s="36">
        <f>SUM(H8:K8)</f>
        <v>0</v>
      </c>
      <c r="M8" s="356"/>
      <c r="N8" s="36"/>
      <c r="O8" s="81"/>
      <c r="P8" s="36"/>
    </row>
    <row r="9" spans="1:16" x14ac:dyDescent="0.3">
      <c r="A9" s="249"/>
      <c r="B9" s="267"/>
      <c r="C9" s="267"/>
      <c r="D9" s="383"/>
      <c r="E9" s="267"/>
      <c r="F9" s="36"/>
      <c r="G9" s="36"/>
      <c r="H9" s="36"/>
      <c r="I9" s="36"/>
      <c r="J9" s="36"/>
      <c r="K9" s="36"/>
      <c r="L9" s="36">
        <f>SUM(H9:K9)</f>
        <v>0</v>
      </c>
      <c r="M9" s="356"/>
      <c r="N9" s="36"/>
      <c r="O9" s="73"/>
      <c r="P9" s="36"/>
    </row>
    <row r="10" spans="1:16" ht="15" thickBot="1" x14ac:dyDescent="0.35">
      <c r="A10" s="249"/>
      <c r="B10" s="267"/>
      <c r="C10" s="267"/>
      <c r="D10" s="383"/>
      <c r="E10" s="267"/>
      <c r="F10" s="41"/>
      <c r="G10" s="41"/>
      <c r="H10" s="36"/>
      <c r="I10" s="36"/>
      <c r="J10" s="36"/>
      <c r="K10" s="36"/>
      <c r="L10" s="36">
        <f>SUM(H10:K10)</f>
        <v>0</v>
      </c>
      <c r="M10" s="356"/>
      <c r="N10" s="36"/>
      <c r="O10" s="93"/>
      <c r="P10" s="41"/>
    </row>
    <row r="11" spans="1:16" ht="16.5" customHeight="1" thickTop="1" thickBot="1" x14ac:dyDescent="0.35">
      <c r="A11" s="250"/>
      <c r="B11" s="268"/>
      <c r="C11" s="268"/>
      <c r="D11" s="384"/>
      <c r="E11" s="268"/>
      <c r="F11" s="251"/>
      <c r="G11" s="252"/>
      <c r="H11" s="57">
        <f>SUM(H6:H10)</f>
        <v>500</v>
      </c>
      <c r="I11" s="57">
        <f t="shared" ref="I11:L11" si="0">SUM(I6:I10)</f>
        <v>14000</v>
      </c>
      <c r="J11" s="57">
        <f t="shared" si="0"/>
        <v>3000</v>
      </c>
      <c r="K11" s="57">
        <f t="shared" si="0"/>
        <v>0</v>
      </c>
      <c r="L11" s="57">
        <f t="shared" si="0"/>
        <v>17500</v>
      </c>
      <c r="M11" s="57"/>
      <c r="N11" s="57">
        <f>M6-L11</f>
        <v>0</v>
      </c>
      <c r="O11" s="153"/>
      <c r="P11" s="14"/>
    </row>
    <row r="12" spans="1:16" ht="15.75" customHeight="1" thickTop="1" x14ac:dyDescent="0.3">
      <c r="A12" s="260"/>
      <c r="B12" s="389"/>
      <c r="C12" s="280"/>
      <c r="D12" s="383"/>
      <c r="E12" s="375"/>
      <c r="F12" s="39"/>
      <c r="G12" s="40"/>
      <c r="H12" s="4"/>
      <c r="I12" s="4"/>
      <c r="J12" s="4"/>
      <c r="K12" s="4"/>
      <c r="L12" s="4">
        <f>SUM(H12:K12)</f>
        <v>0</v>
      </c>
      <c r="M12" s="340"/>
      <c r="N12" s="4"/>
      <c r="O12" s="96"/>
      <c r="P12" s="34"/>
    </row>
    <row r="13" spans="1:16" x14ac:dyDescent="0.3">
      <c r="A13" s="249"/>
      <c r="B13" s="267"/>
      <c r="C13" s="267"/>
      <c r="D13" s="383"/>
      <c r="E13" s="267"/>
      <c r="F13" s="31"/>
      <c r="G13" s="36"/>
      <c r="H13" s="4"/>
      <c r="I13" s="4"/>
      <c r="J13" s="4"/>
      <c r="K13" s="4"/>
      <c r="L13" s="4">
        <f>SUM(H13:K13)</f>
        <v>0</v>
      </c>
      <c r="M13" s="340"/>
      <c r="N13" s="4"/>
      <c r="O13" s="80"/>
      <c r="P13" s="36"/>
    </row>
    <row r="14" spans="1:16" x14ac:dyDescent="0.3">
      <c r="A14" s="249"/>
      <c r="B14" s="267"/>
      <c r="C14" s="267"/>
      <c r="D14" s="383"/>
      <c r="E14" s="267"/>
      <c r="F14" s="36"/>
      <c r="G14" s="36"/>
      <c r="H14" s="4"/>
      <c r="I14" s="4"/>
      <c r="J14" s="4"/>
      <c r="K14" s="4"/>
      <c r="L14" s="4">
        <f>SUM(H14:K14)</f>
        <v>0</v>
      </c>
      <c r="M14" s="340"/>
      <c r="N14" s="4"/>
      <c r="O14" s="94"/>
      <c r="P14" s="36"/>
    </row>
    <row r="15" spans="1:16" x14ac:dyDescent="0.3">
      <c r="A15" s="249"/>
      <c r="B15" s="267"/>
      <c r="C15" s="267"/>
      <c r="D15" s="383"/>
      <c r="E15" s="267"/>
      <c r="F15" s="36"/>
      <c r="G15" s="36"/>
      <c r="H15" s="4"/>
      <c r="I15" s="4"/>
      <c r="J15" s="4"/>
      <c r="K15" s="4"/>
      <c r="L15" s="4">
        <f>SUM(H15:K15)</f>
        <v>0</v>
      </c>
      <c r="M15" s="340"/>
      <c r="N15" s="4"/>
      <c r="O15" s="73"/>
      <c r="P15" s="36"/>
    </row>
    <row r="16" spans="1:16" ht="16.5" customHeight="1" thickBot="1" x14ac:dyDescent="0.35">
      <c r="A16" s="249"/>
      <c r="B16" s="267"/>
      <c r="C16" s="267"/>
      <c r="D16" s="383"/>
      <c r="E16" s="267"/>
      <c r="F16" s="41"/>
      <c r="G16" s="41"/>
      <c r="H16" s="4"/>
      <c r="I16" s="4"/>
      <c r="J16" s="4"/>
      <c r="K16" s="4"/>
      <c r="L16" s="4">
        <f>SUM(H16:K16)</f>
        <v>0</v>
      </c>
      <c r="M16" s="340"/>
      <c r="N16" s="4"/>
      <c r="O16" s="81"/>
      <c r="P16" s="41"/>
    </row>
    <row r="17" spans="1:16" ht="15.6" thickTop="1" thickBot="1" x14ac:dyDescent="0.35">
      <c r="A17" s="250"/>
      <c r="B17" s="268"/>
      <c r="C17" s="268"/>
      <c r="D17" s="384"/>
      <c r="E17" s="268"/>
      <c r="F17" s="251"/>
      <c r="G17" s="252"/>
      <c r="H17" s="56">
        <f>SUM(H12:H16)</f>
        <v>0</v>
      </c>
      <c r="I17" s="56">
        <f t="shared" ref="I17:L17" si="1">SUM(I12:I16)</f>
        <v>0</v>
      </c>
      <c r="J17" s="56">
        <f t="shared" si="1"/>
        <v>0</v>
      </c>
      <c r="K17" s="56">
        <f t="shared" si="1"/>
        <v>0</v>
      </c>
      <c r="L17" s="56">
        <f t="shared" si="1"/>
        <v>0</v>
      </c>
      <c r="M17" s="56"/>
      <c r="N17" s="56">
        <f>M12-L17</f>
        <v>0</v>
      </c>
      <c r="O17" s="153"/>
      <c r="P17" s="14"/>
    </row>
    <row r="18" spans="1:16" ht="15.75" customHeight="1" thickTop="1" x14ac:dyDescent="0.3">
      <c r="A18" s="248"/>
      <c r="B18" s="253"/>
      <c r="C18" s="256"/>
      <c r="D18" s="381"/>
      <c r="E18" s="409"/>
      <c r="F18" s="3"/>
      <c r="G18" s="29"/>
      <c r="H18" s="4"/>
      <c r="I18" s="4"/>
      <c r="J18" s="4"/>
      <c r="K18" s="4"/>
      <c r="L18" s="4">
        <f>SUM(H18:K18)</f>
        <v>0</v>
      </c>
      <c r="M18" s="340"/>
      <c r="N18" s="4"/>
      <c r="O18" s="86"/>
      <c r="P18" s="20"/>
    </row>
    <row r="19" spans="1:16" x14ac:dyDescent="0.3">
      <c r="A19" s="241"/>
      <c r="B19" s="254"/>
      <c r="C19" s="257"/>
      <c r="D19" s="381"/>
      <c r="E19" s="241"/>
      <c r="F19" s="16"/>
      <c r="G19" s="4"/>
      <c r="H19" s="4"/>
      <c r="I19" s="4"/>
      <c r="J19" s="4"/>
      <c r="K19" s="4"/>
      <c r="L19" s="4">
        <f>SUM(H19:K19)</f>
        <v>0</v>
      </c>
      <c r="M19" s="340"/>
      <c r="N19" s="4"/>
      <c r="O19" s="71"/>
      <c r="P19" s="4"/>
    </row>
    <row r="20" spans="1:16" x14ac:dyDescent="0.3">
      <c r="A20" s="241"/>
      <c r="B20" s="254"/>
      <c r="C20" s="257"/>
      <c r="D20" s="381"/>
      <c r="E20" s="241"/>
      <c r="F20" s="4"/>
      <c r="G20" s="4"/>
      <c r="H20" s="4"/>
      <c r="I20" s="4"/>
      <c r="J20" s="4"/>
      <c r="K20" s="4"/>
      <c r="L20" s="4">
        <f>SUM(H20:K20)</f>
        <v>0</v>
      </c>
      <c r="M20" s="340"/>
      <c r="N20" s="4"/>
      <c r="O20" s="78"/>
      <c r="P20" s="4"/>
    </row>
    <row r="21" spans="1:16" ht="16.5" customHeight="1" x14ac:dyDescent="0.3">
      <c r="A21" s="241"/>
      <c r="B21" s="254"/>
      <c r="C21" s="257"/>
      <c r="D21" s="381"/>
      <c r="E21" s="241"/>
      <c r="F21" s="4"/>
      <c r="G21" s="4"/>
      <c r="H21" s="4"/>
      <c r="I21" s="4"/>
      <c r="J21" s="4"/>
      <c r="K21" s="4"/>
      <c r="L21" s="4">
        <f>SUM(H21:K21)</f>
        <v>0</v>
      </c>
      <c r="M21" s="340"/>
      <c r="N21" s="4"/>
      <c r="O21" s="71"/>
      <c r="P21" s="4"/>
    </row>
    <row r="22" spans="1:16" ht="15" thickBot="1" x14ac:dyDescent="0.35">
      <c r="A22" s="241"/>
      <c r="B22" s="254"/>
      <c r="C22" s="257"/>
      <c r="D22" s="381"/>
      <c r="E22" s="241"/>
      <c r="F22" s="6"/>
      <c r="G22" s="6"/>
      <c r="H22" s="4"/>
      <c r="I22" s="4"/>
      <c r="J22" s="4"/>
      <c r="K22" s="4"/>
      <c r="L22" s="4">
        <f>SUM(H22:K22)</f>
        <v>0</v>
      </c>
      <c r="M22" s="340"/>
      <c r="N22" s="4"/>
      <c r="O22" s="87"/>
      <c r="P22" s="6"/>
    </row>
    <row r="23" spans="1:16" ht="15.6" thickTop="1" thickBot="1" x14ac:dyDescent="0.35">
      <c r="A23" s="242"/>
      <c r="B23" s="255"/>
      <c r="C23" s="258"/>
      <c r="D23" s="382"/>
      <c r="E23" s="242"/>
      <c r="F23" s="243" t="s">
        <v>17</v>
      </c>
      <c r="G23" s="244"/>
      <c r="H23" s="56">
        <f>SUM(H18:H22)</f>
        <v>0</v>
      </c>
      <c r="I23" s="56">
        <f t="shared" ref="I23:L23" si="2">SUM(I18:I22)</f>
        <v>0</v>
      </c>
      <c r="J23" s="56">
        <f t="shared" si="2"/>
        <v>0</v>
      </c>
      <c r="K23" s="56">
        <f t="shared" si="2"/>
        <v>0</v>
      </c>
      <c r="L23" s="56">
        <f t="shared" si="2"/>
        <v>0</v>
      </c>
      <c r="M23" s="56"/>
      <c r="N23" s="56">
        <f>M18-L23</f>
        <v>0</v>
      </c>
      <c r="O23" s="88"/>
      <c r="P23" s="8">
        <f>SUM(P18:P22)</f>
        <v>0</v>
      </c>
    </row>
    <row r="24" spans="1:16" ht="15.75" customHeight="1" thickTop="1" x14ac:dyDescent="0.3">
      <c r="A24" s="282"/>
      <c r="B24" s="328"/>
      <c r="C24" s="286"/>
      <c r="D24" s="419"/>
      <c r="E24" s="408"/>
      <c r="F24" s="16"/>
      <c r="G24" s="18"/>
      <c r="H24" s="4"/>
      <c r="I24" s="4"/>
      <c r="J24" s="4"/>
      <c r="K24" s="4"/>
      <c r="L24" s="4">
        <f>SUM(H24:K24)</f>
        <v>0</v>
      </c>
      <c r="M24" s="340"/>
      <c r="N24" s="4"/>
      <c r="O24" s="86"/>
      <c r="P24" s="30"/>
    </row>
    <row r="25" spans="1:16" x14ac:dyDescent="0.3">
      <c r="A25" s="246"/>
      <c r="B25" s="287"/>
      <c r="C25" s="287"/>
      <c r="D25" s="420"/>
      <c r="E25" s="246"/>
      <c r="F25" s="16"/>
      <c r="G25" s="27"/>
      <c r="H25" s="4"/>
      <c r="I25" s="4"/>
      <c r="J25" s="4"/>
      <c r="K25" s="4"/>
      <c r="L25" s="4">
        <f>SUM(H25:K25)</f>
        <v>0</v>
      </c>
      <c r="M25" s="340"/>
      <c r="N25" s="4"/>
      <c r="O25" s="71"/>
      <c r="P25" s="16"/>
    </row>
    <row r="26" spans="1:16" ht="15.75" customHeight="1" x14ac:dyDescent="0.3">
      <c r="A26" s="246"/>
      <c r="B26" s="287"/>
      <c r="C26" s="287"/>
      <c r="D26" s="420"/>
      <c r="E26" s="246"/>
      <c r="F26" s="16"/>
      <c r="G26" s="16"/>
      <c r="H26" s="4"/>
      <c r="I26" s="4"/>
      <c r="J26" s="4"/>
      <c r="K26" s="4"/>
      <c r="L26" s="4">
        <f>SUM(H26:K26)</f>
        <v>0</v>
      </c>
      <c r="M26" s="340"/>
      <c r="N26" s="4"/>
      <c r="O26" s="78"/>
      <c r="P26" s="16"/>
    </row>
    <row r="27" spans="1:16" x14ac:dyDescent="0.3">
      <c r="A27" s="246"/>
      <c r="B27" s="287"/>
      <c r="C27" s="287"/>
      <c r="D27" s="420"/>
      <c r="E27" s="246"/>
      <c r="F27" s="16"/>
      <c r="G27" s="16"/>
      <c r="H27" s="4"/>
      <c r="I27" s="4"/>
      <c r="J27" s="4"/>
      <c r="K27" s="4"/>
      <c r="L27" s="4">
        <f>SUM(H27:K27)</f>
        <v>0</v>
      </c>
      <c r="M27" s="340"/>
      <c r="N27" s="4"/>
      <c r="O27" s="72"/>
      <c r="P27" s="16"/>
    </row>
    <row r="28" spans="1:16" ht="15" thickBot="1" x14ac:dyDescent="0.35">
      <c r="A28" s="246"/>
      <c r="B28" s="287"/>
      <c r="C28" s="287"/>
      <c r="D28" s="420"/>
      <c r="E28" s="246"/>
      <c r="F28" s="17"/>
      <c r="G28" s="17"/>
      <c r="H28" s="4"/>
      <c r="I28" s="4"/>
      <c r="J28" s="4"/>
      <c r="K28" s="4"/>
      <c r="L28" s="4">
        <f>SUM(H28:K28)</f>
        <v>0</v>
      </c>
      <c r="M28" s="340"/>
      <c r="N28" s="4"/>
      <c r="O28" s="90"/>
      <c r="P28" s="17"/>
    </row>
    <row r="29" spans="1:16" ht="15.6" thickTop="1" thickBot="1" x14ac:dyDescent="0.35">
      <c r="A29" s="247"/>
      <c r="B29" s="288"/>
      <c r="C29" s="288"/>
      <c r="D29" s="421"/>
      <c r="E29" s="247"/>
      <c r="F29" s="243" t="s">
        <v>17</v>
      </c>
      <c r="G29" s="244"/>
      <c r="H29" s="56">
        <f>SUM(H24:H28)</f>
        <v>0</v>
      </c>
      <c r="I29" s="56">
        <f t="shared" ref="I29:L29" si="3">SUM(I24:I28)</f>
        <v>0</v>
      </c>
      <c r="J29" s="56">
        <f t="shared" si="3"/>
        <v>0</v>
      </c>
      <c r="K29" s="56">
        <f t="shared" si="3"/>
        <v>0</v>
      </c>
      <c r="L29" s="56">
        <f t="shared" si="3"/>
        <v>0</v>
      </c>
      <c r="M29" s="56"/>
      <c r="N29" s="56">
        <f>M24-L29</f>
        <v>0</v>
      </c>
      <c r="O29" s="88"/>
      <c r="P29" s="8">
        <f>SUM(P24:P28)</f>
        <v>0</v>
      </c>
    </row>
    <row r="30" spans="1:16" ht="21.75" customHeight="1" thickTop="1" x14ac:dyDescent="0.3">
      <c r="A30" s="372" t="s">
        <v>15</v>
      </c>
      <c r="B30" s="373"/>
      <c r="C30" s="373"/>
      <c r="D30" s="373"/>
      <c r="E30" s="373"/>
      <c r="F30" s="373"/>
      <c r="G30" s="374"/>
      <c r="H30" s="2">
        <f t="shared" ref="H30:K30" si="4">+H29+H23+H17+H11</f>
        <v>500</v>
      </c>
      <c r="I30" s="2">
        <f t="shared" si="4"/>
        <v>14000</v>
      </c>
      <c r="J30" s="2">
        <f t="shared" si="4"/>
        <v>3000</v>
      </c>
      <c r="K30" s="2">
        <f t="shared" si="4"/>
        <v>0</v>
      </c>
      <c r="L30" s="2">
        <f>+L29+L23+L17+L11</f>
        <v>17500</v>
      </c>
      <c r="M30" s="2">
        <f>+M24+M18+M12+M6</f>
        <v>17500</v>
      </c>
      <c r="N30" s="2">
        <f>+N29+N23+N17+N11</f>
        <v>0</v>
      </c>
      <c r="O30" s="83"/>
      <c r="P30" s="2">
        <f>+P29+P23+P17+P11</f>
        <v>0</v>
      </c>
    </row>
    <row r="32" spans="1:16" ht="15.6" x14ac:dyDescent="0.3">
      <c r="A32" s="1" t="s">
        <v>16</v>
      </c>
    </row>
  </sheetData>
  <mergeCells count="33">
    <mergeCell ref="A30:G30"/>
    <mergeCell ref="M24:M28"/>
    <mergeCell ref="F29:G29"/>
    <mergeCell ref="M12:M16"/>
    <mergeCell ref="F17:G17"/>
    <mergeCell ref="A18:A23"/>
    <mergeCell ref="B18:B23"/>
    <mergeCell ref="C18:C23"/>
    <mergeCell ref="D18:D23"/>
    <mergeCell ref="E18:E23"/>
    <mergeCell ref="M18:M22"/>
    <mergeCell ref="F23:G23"/>
    <mergeCell ref="A24:A29"/>
    <mergeCell ref="B24:B29"/>
    <mergeCell ref="C24:C29"/>
    <mergeCell ref="D24:D29"/>
    <mergeCell ref="E24:E29"/>
    <mergeCell ref="A12:A17"/>
    <mergeCell ref="B12:B17"/>
    <mergeCell ref="C12:C17"/>
    <mergeCell ref="D12:D17"/>
    <mergeCell ref="E12:E17"/>
    <mergeCell ref="A1:O1"/>
    <mergeCell ref="A2:O2"/>
    <mergeCell ref="A3:O3"/>
    <mergeCell ref="A4:O4"/>
    <mergeCell ref="A6:A11"/>
    <mergeCell ref="B6:B11"/>
    <mergeCell ref="C6:C11"/>
    <mergeCell ref="D6:D11"/>
    <mergeCell ref="E6:E11"/>
    <mergeCell ref="M6:M10"/>
    <mergeCell ref="F11:G11"/>
  </mergeCells>
  <pageMargins left="0.19685039370078741" right="0" top="0.23622047244094491" bottom="0.23622047244094491" header="0.31496062992125984" footer="0.31496062992125984"/>
  <pageSetup paperSize="9"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8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M11" sqref="M11"/>
    </sheetView>
  </sheetViews>
  <sheetFormatPr defaultRowHeight="14.4" x14ac:dyDescent="0.3"/>
  <cols>
    <col min="1" max="1" width="3.5546875" customWidth="1"/>
    <col min="2" max="2" width="30.44140625" customWidth="1"/>
    <col min="3" max="3" width="6.88671875" customWidth="1"/>
    <col min="4" max="4" width="7.6640625" customWidth="1"/>
    <col min="5" max="5" width="10.5546875" customWidth="1"/>
    <col min="6" max="6" width="7.6640625" customWidth="1"/>
    <col min="7" max="7" width="10.6640625" customWidth="1"/>
    <col min="8" max="8" width="7.5546875" customWidth="1"/>
    <col min="9" max="9" width="9.33203125" customWidth="1"/>
    <col min="10" max="10" width="10.33203125" customWidth="1"/>
    <col min="11" max="11" width="8.109375" customWidth="1"/>
    <col min="12" max="12" width="10.109375" customWidth="1"/>
    <col min="13" max="13" width="11.109375" customWidth="1"/>
    <col min="14" max="14" width="11.88671875" customWidth="1"/>
    <col min="15" max="15" width="15.5546875" style="84" customWidth="1"/>
    <col min="16" max="16" width="8.6640625" customWidth="1"/>
  </cols>
  <sheetData>
    <row r="1" spans="1:16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</row>
    <row r="2" spans="1:16" ht="27.6" x14ac:dyDescent="0.45">
      <c r="A2" s="318" t="s">
        <v>11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</row>
    <row r="3" spans="1:16" ht="17.399999999999999" x14ac:dyDescent="0.3">
      <c r="A3" s="319" t="s">
        <v>12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</row>
    <row r="4" spans="1:16" ht="26.25" customHeight="1" x14ac:dyDescent="0.45">
      <c r="A4" s="395" t="s">
        <v>443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5"/>
      <c r="O4" s="395"/>
    </row>
    <row r="5" spans="1:16" ht="50.25" customHeight="1" thickBot="1" x14ac:dyDescent="0.35">
      <c r="A5" s="74" t="s">
        <v>0</v>
      </c>
      <c r="B5" s="75" t="s">
        <v>13</v>
      </c>
      <c r="C5" s="61" t="s">
        <v>14</v>
      </c>
      <c r="D5" s="76" t="s">
        <v>1</v>
      </c>
      <c r="E5" s="61" t="s">
        <v>2</v>
      </c>
      <c r="F5" s="61" t="s">
        <v>8</v>
      </c>
      <c r="G5" s="61" t="s">
        <v>9</v>
      </c>
      <c r="H5" s="61" t="s">
        <v>46</v>
      </c>
      <c r="I5" s="61" t="s">
        <v>3</v>
      </c>
      <c r="J5" s="61" t="s">
        <v>4</v>
      </c>
      <c r="K5" s="61" t="s">
        <v>5</v>
      </c>
      <c r="L5" s="61" t="s">
        <v>15</v>
      </c>
      <c r="M5" s="61" t="s">
        <v>49</v>
      </c>
      <c r="N5" s="61" t="s">
        <v>6</v>
      </c>
      <c r="O5" s="102" t="s">
        <v>7</v>
      </c>
      <c r="P5" s="61" t="s">
        <v>44</v>
      </c>
    </row>
    <row r="6" spans="1:16" ht="15" customHeight="1" thickTop="1" x14ac:dyDescent="0.3">
      <c r="A6" s="422">
        <v>1</v>
      </c>
      <c r="B6" s="424" t="s">
        <v>304</v>
      </c>
      <c r="C6" s="427" t="s">
        <v>114</v>
      </c>
      <c r="D6" s="430" t="s">
        <v>305</v>
      </c>
      <c r="E6" s="433" t="s">
        <v>306</v>
      </c>
      <c r="F6" s="213">
        <v>6694</v>
      </c>
      <c r="G6" s="214" t="s">
        <v>307</v>
      </c>
      <c r="H6" s="213">
        <v>500</v>
      </c>
      <c r="I6" s="213">
        <v>1000</v>
      </c>
      <c r="J6" s="213"/>
      <c r="K6" s="213"/>
      <c r="L6" s="213">
        <f>SUM(H6:K6)</f>
        <v>1500</v>
      </c>
      <c r="M6" s="422">
        <v>1500</v>
      </c>
      <c r="N6" s="213"/>
      <c r="O6" s="213"/>
      <c r="P6" s="213">
        <v>1500</v>
      </c>
    </row>
    <row r="7" spans="1:16" ht="18" x14ac:dyDescent="0.35">
      <c r="A7" s="422"/>
      <c r="B7" s="425"/>
      <c r="C7" s="428"/>
      <c r="D7" s="431"/>
      <c r="E7" s="431"/>
      <c r="F7" s="215"/>
      <c r="G7" s="215"/>
      <c r="H7" s="215"/>
      <c r="I7" s="215"/>
      <c r="J7" s="215"/>
      <c r="K7" s="215"/>
      <c r="L7" s="213">
        <f t="shared" ref="L7:L10" si="0">SUM(H7:K7)</f>
        <v>0</v>
      </c>
      <c r="M7" s="422"/>
      <c r="N7" s="215"/>
      <c r="O7" s="216" t="s">
        <v>808</v>
      </c>
      <c r="P7" s="215"/>
    </row>
    <row r="8" spans="1:16" ht="15.6" x14ac:dyDescent="0.3">
      <c r="A8" s="422"/>
      <c r="B8" s="425"/>
      <c r="C8" s="428"/>
      <c r="D8" s="431"/>
      <c r="E8" s="431"/>
      <c r="F8" s="217"/>
      <c r="G8" s="215"/>
      <c r="H8" s="215"/>
      <c r="I8" s="215"/>
      <c r="J8" s="215"/>
      <c r="K8" s="215"/>
      <c r="L8" s="213">
        <f t="shared" si="0"/>
        <v>0</v>
      </c>
      <c r="M8" s="422"/>
      <c r="N8" s="215"/>
      <c r="O8" s="218" t="s">
        <v>840</v>
      </c>
      <c r="P8" s="215"/>
    </row>
    <row r="9" spans="1:16" x14ac:dyDescent="0.3">
      <c r="A9" s="422"/>
      <c r="B9" s="425"/>
      <c r="C9" s="428"/>
      <c r="D9" s="431"/>
      <c r="E9" s="431"/>
      <c r="F9" s="215"/>
      <c r="G9" s="215"/>
      <c r="H9" s="215"/>
      <c r="I9" s="215"/>
      <c r="J9" s="215"/>
      <c r="K9" s="215"/>
      <c r="L9" s="213">
        <f t="shared" si="0"/>
        <v>0</v>
      </c>
      <c r="M9" s="422"/>
      <c r="N9" s="215"/>
      <c r="O9" s="219"/>
      <c r="P9" s="215"/>
    </row>
    <row r="10" spans="1:16" ht="15" thickBot="1" x14ac:dyDescent="0.35">
      <c r="A10" s="422"/>
      <c r="B10" s="425"/>
      <c r="C10" s="428"/>
      <c r="D10" s="431"/>
      <c r="E10" s="431"/>
      <c r="F10" s="220"/>
      <c r="G10" s="220"/>
      <c r="H10" s="220"/>
      <c r="I10" s="220"/>
      <c r="J10" s="220"/>
      <c r="K10" s="220"/>
      <c r="L10" s="213">
        <f t="shared" si="0"/>
        <v>0</v>
      </c>
      <c r="M10" s="423"/>
      <c r="N10" s="220"/>
      <c r="O10" s="221"/>
      <c r="P10" s="220"/>
    </row>
    <row r="11" spans="1:16" ht="16.5" customHeight="1" thickTop="1" thickBot="1" x14ac:dyDescent="0.35">
      <c r="A11" s="423"/>
      <c r="B11" s="426"/>
      <c r="C11" s="429"/>
      <c r="D11" s="432"/>
      <c r="E11" s="432"/>
      <c r="F11" s="434"/>
      <c r="G11" s="435"/>
      <c r="H11" s="222">
        <f t="shared" ref="H11:K11" si="1">SUM(H6:H10)</f>
        <v>500</v>
      </c>
      <c r="I11" s="222">
        <f t="shared" si="1"/>
        <v>1000</v>
      </c>
      <c r="J11" s="222">
        <f t="shared" si="1"/>
        <v>0</v>
      </c>
      <c r="K11" s="222">
        <f t="shared" si="1"/>
        <v>0</v>
      </c>
      <c r="L11" s="222">
        <f>SUM(L6:L10)</f>
        <v>1500</v>
      </c>
      <c r="M11" s="222"/>
      <c r="N11" s="222">
        <f>M6-L11</f>
        <v>0</v>
      </c>
      <c r="O11" s="223"/>
      <c r="P11" s="222"/>
    </row>
    <row r="12" spans="1:16" ht="15.75" customHeight="1" thickTop="1" x14ac:dyDescent="0.3">
      <c r="A12" s="248">
        <v>2</v>
      </c>
      <c r="B12" s="253" t="s">
        <v>884</v>
      </c>
      <c r="C12" s="256" t="s">
        <v>312</v>
      </c>
      <c r="D12" s="256" t="s">
        <v>885</v>
      </c>
      <c r="E12" s="371" t="s">
        <v>886</v>
      </c>
      <c r="F12" s="3">
        <v>7063</v>
      </c>
      <c r="G12" s="7" t="s">
        <v>873</v>
      </c>
      <c r="H12" s="3">
        <v>500</v>
      </c>
      <c r="I12" s="3">
        <v>2000</v>
      </c>
      <c r="J12" s="3">
        <v>3000</v>
      </c>
      <c r="K12" s="3"/>
      <c r="L12" s="20">
        <f>SUM(H12:K12)</f>
        <v>5500</v>
      </c>
      <c r="M12" s="240">
        <v>14500</v>
      </c>
      <c r="N12" s="4"/>
      <c r="O12" s="89"/>
      <c r="P12" s="20">
        <v>1500</v>
      </c>
    </row>
    <row r="13" spans="1:16" x14ac:dyDescent="0.3">
      <c r="A13" s="241"/>
      <c r="B13" s="254"/>
      <c r="C13" s="257"/>
      <c r="D13" s="257"/>
      <c r="E13" s="257"/>
      <c r="F13" s="16"/>
      <c r="G13" s="4"/>
      <c r="H13" s="4"/>
      <c r="I13" s="4"/>
      <c r="J13" s="4"/>
      <c r="K13" s="4"/>
      <c r="L13" s="20">
        <f t="shared" ref="L13:L16" si="2">SUM(H13:K13)</f>
        <v>0</v>
      </c>
      <c r="M13" s="241"/>
      <c r="N13" s="4"/>
      <c r="O13" s="72"/>
      <c r="P13" s="4"/>
    </row>
    <row r="14" spans="1:16" x14ac:dyDescent="0.3">
      <c r="A14" s="241"/>
      <c r="B14" s="254"/>
      <c r="C14" s="257"/>
      <c r="D14" s="257"/>
      <c r="E14" s="257"/>
      <c r="F14" s="4"/>
      <c r="G14" s="4"/>
      <c r="H14" s="4"/>
      <c r="I14" s="4"/>
      <c r="J14" s="4"/>
      <c r="K14" s="4"/>
      <c r="L14" s="20">
        <f t="shared" si="2"/>
        <v>0</v>
      </c>
      <c r="M14" s="241"/>
      <c r="N14" s="4"/>
      <c r="O14" s="86"/>
      <c r="P14" s="4"/>
    </row>
    <row r="15" spans="1:16" x14ac:dyDescent="0.3">
      <c r="A15" s="241"/>
      <c r="B15" s="254"/>
      <c r="C15" s="257"/>
      <c r="D15" s="257"/>
      <c r="E15" s="257"/>
      <c r="F15" s="4"/>
      <c r="G15" s="4"/>
      <c r="H15" s="4"/>
      <c r="I15" s="4"/>
      <c r="J15" s="4"/>
      <c r="K15" s="4"/>
      <c r="L15" s="20">
        <f t="shared" si="2"/>
        <v>0</v>
      </c>
      <c r="M15" s="241"/>
      <c r="N15" s="4"/>
      <c r="O15" s="71"/>
      <c r="P15" s="4"/>
    </row>
    <row r="16" spans="1:16" ht="16.5" customHeight="1" thickBot="1" x14ac:dyDescent="0.35">
      <c r="A16" s="241"/>
      <c r="B16" s="254"/>
      <c r="C16" s="257"/>
      <c r="D16" s="257"/>
      <c r="E16" s="257"/>
      <c r="F16" s="6"/>
      <c r="G16" s="6"/>
      <c r="H16" s="6"/>
      <c r="I16" s="6"/>
      <c r="J16" s="6"/>
      <c r="K16" s="6"/>
      <c r="L16" s="20">
        <f t="shared" si="2"/>
        <v>0</v>
      </c>
      <c r="M16" s="242"/>
      <c r="N16" s="6"/>
      <c r="O16" s="78"/>
      <c r="P16" s="6"/>
    </row>
    <row r="17" spans="1:16" ht="15.6" thickTop="1" thickBot="1" x14ac:dyDescent="0.35">
      <c r="A17" s="242"/>
      <c r="B17" s="255"/>
      <c r="C17" s="258"/>
      <c r="D17" s="258"/>
      <c r="E17" s="258"/>
      <c r="F17" s="243"/>
      <c r="G17" s="244"/>
      <c r="H17" s="8">
        <f t="shared" ref="H17:L17" si="3">SUM(H12:H16)</f>
        <v>500</v>
      </c>
      <c r="I17" s="8">
        <f t="shared" si="3"/>
        <v>2000</v>
      </c>
      <c r="J17" s="8">
        <f t="shared" si="3"/>
        <v>3000</v>
      </c>
      <c r="K17" s="8">
        <f t="shared" si="3"/>
        <v>0</v>
      </c>
      <c r="L17" s="8">
        <f t="shared" si="3"/>
        <v>5500</v>
      </c>
      <c r="M17" s="8"/>
      <c r="N17" s="8">
        <f>M12-L17</f>
        <v>9000</v>
      </c>
      <c r="O17" s="100"/>
      <c r="P17" s="8"/>
    </row>
    <row r="18" spans="1:16" ht="15.75" customHeight="1" thickTop="1" x14ac:dyDescent="0.3">
      <c r="A18" s="260"/>
      <c r="B18" s="389"/>
      <c r="C18" s="280"/>
      <c r="D18" s="280"/>
      <c r="E18" s="281"/>
      <c r="F18" s="39"/>
      <c r="G18" s="47"/>
      <c r="H18" s="3"/>
      <c r="I18" s="3"/>
      <c r="J18" s="3"/>
      <c r="K18" s="3"/>
      <c r="L18" s="20">
        <f>SUM(H18:K18)</f>
        <v>0</v>
      </c>
      <c r="M18" s="240"/>
      <c r="N18" s="4"/>
      <c r="O18" s="94"/>
      <c r="P18" s="34"/>
    </row>
    <row r="19" spans="1:16" x14ac:dyDescent="0.3">
      <c r="A19" s="249"/>
      <c r="B19" s="267"/>
      <c r="C19" s="267"/>
      <c r="D19" s="267"/>
      <c r="E19" s="267"/>
      <c r="F19" s="31"/>
      <c r="G19" s="36"/>
      <c r="H19" s="4"/>
      <c r="I19" s="4"/>
      <c r="J19" s="4"/>
      <c r="K19" s="4"/>
      <c r="L19" s="20">
        <f t="shared" ref="L19:L22" si="4">SUM(H19:K19)</f>
        <v>0</v>
      </c>
      <c r="M19" s="241"/>
      <c r="N19" s="4"/>
      <c r="O19" s="73"/>
      <c r="P19" s="36"/>
    </row>
    <row r="20" spans="1:16" ht="15.6" x14ac:dyDescent="0.3">
      <c r="A20" s="249"/>
      <c r="B20" s="267"/>
      <c r="C20" s="267"/>
      <c r="D20" s="267"/>
      <c r="E20" s="267"/>
      <c r="F20" s="36"/>
      <c r="G20" s="36"/>
      <c r="H20" s="4"/>
      <c r="I20" s="4"/>
      <c r="J20" s="4"/>
      <c r="K20" s="4"/>
      <c r="L20" s="20">
        <f t="shared" si="4"/>
        <v>0</v>
      </c>
      <c r="M20" s="241"/>
      <c r="N20" s="4"/>
      <c r="O20" s="112"/>
      <c r="P20" s="36"/>
    </row>
    <row r="21" spans="1:16" ht="16.5" customHeight="1" x14ac:dyDescent="0.3">
      <c r="A21" s="249"/>
      <c r="B21" s="267"/>
      <c r="C21" s="267"/>
      <c r="D21" s="267"/>
      <c r="E21" s="267"/>
      <c r="F21" s="36"/>
      <c r="G21" s="36"/>
      <c r="H21" s="4"/>
      <c r="I21" s="4"/>
      <c r="J21" s="4"/>
      <c r="K21" s="4"/>
      <c r="L21" s="20">
        <f t="shared" si="4"/>
        <v>0</v>
      </c>
      <c r="M21" s="241"/>
      <c r="N21" s="4"/>
      <c r="O21" s="73"/>
      <c r="P21" s="36"/>
    </row>
    <row r="22" spans="1:16" ht="15" thickBot="1" x14ac:dyDescent="0.35">
      <c r="A22" s="249"/>
      <c r="B22" s="267"/>
      <c r="C22" s="267"/>
      <c r="D22" s="267"/>
      <c r="E22" s="267"/>
      <c r="F22" s="41"/>
      <c r="G22" s="41"/>
      <c r="H22" s="6"/>
      <c r="I22" s="6"/>
      <c r="J22" s="6"/>
      <c r="K22" s="6"/>
      <c r="L22" s="20">
        <f t="shared" si="4"/>
        <v>0</v>
      </c>
      <c r="M22" s="242"/>
      <c r="N22" s="6"/>
      <c r="O22" s="93"/>
      <c r="P22" s="41"/>
    </row>
    <row r="23" spans="1:16" ht="15.6" thickTop="1" thickBot="1" x14ac:dyDescent="0.35">
      <c r="A23" s="250"/>
      <c r="B23" s="268"/>
      <c r="C23" s="268"/>
      <c r="D23" s="268"/>
      <c r="E23" s="268"/>
      <c r="F23" s="251"/>
      <c r="G23" s="252"/>
      <c r="H23" s="8">
        <f t="shared" ref="H23" si="5">SUM(H18:H22)</f>
        <v>0</v>
      </c>
      <c r="I23" s="8">
        <f t="shared" ref="I23" si="6">SUM(I18:I22)</f>
        <v>0</v>
      </c>
      <c r="J23" s="8">
        <f t="shared" ref="J23" si="7">SUM(J18:J22)</f>
        <v>0</v>
      </c>
      <c r="K23" s="8">
        <f t="shared" ref="K23" si="8">SUM(K18:K22)</f>
        <v>0</v>
      </c>
      <c r="L23" s="8">
        <f t="shared" ref="L23" si="9">SUM(L18:L22)</f>
        <v>0</v>
      </c>
      <c r="M23" s="8"/>
      <c r="N23" s="14">
        <f>M18-L23</f>
        <v>0</v>
      </c>
      <c r="O23" s="111"/>
      <c r="P23" s="14"/>
    </row>
    <row r="24" spans="1:16" ht="15.75" customHeight="1" thickTop="1" x14ac:dyDescent="0.3">
      <c r="A24" s="282"/>
      <c r="B24" s="261"/>
      <c r="C24" s="280"/>
      <c r="D24" s="280"/>
      <c r="E24" s="436"/>
      <c r="F24" s="31"/>
      <c r="G24" s="32"/>
      <c r="H24" s="3"/>
      <c r="I24" s="3"/>
      <c r="J24" s="3"/>
      <c r="K24" s="3"/>
      <c r="L24" s="20">
        <f>SUM(H24:K24)</f>
        <v>0</v>
      </c>
      <c r="M24" s="240"/>
      <c r="N24" s="4"/>
      <c r="O24" s="86"/>
      <c r="P24" s="51"/>
    </row>
    <row r="25" spans="1:16" x14ac:dyDescent="0.3">
      <c r="A25" s="246"/>
      <c r="B25" s="262"/>
      <c r="C25" s="267"/>
      <c r="D25" s="267"/>
      <c r="E25" s="313"/>
      <c r="F25" s="31"/>
      <c r="G25" s="35"/>
      <c r="H25" s="4"/>
      <c r="I25" s="4"/>
      <c r="J25" s="4"/>
      <c r="K25" s="4"/>
      <c r="L25" s="20">
        <f t="shared" ref="L25:L28" si="10">SUM(H25:K25)</f>
        <v>0</v>
      </c>
      <c r="M25" s="241"/>
      <c r="N25" s="4"/>
      <c r="O25" s="71"/>
      <c r="P25" s="31"/>
    </row>
    <row r="26" spans="1:16" ht="15.75" customHeight="1" x14ac:dyDescent="0.3">
      <c r="A26" s="246"/>
      <c r="B26" s="262"/>
      <c r="C26" s="267"/>
      <c r="D26" s="267"/>
      <c r="E26" s="313"/>
      <c r="F26" s="31"/>
      <c r="G26" s="31"/>
      <c r="H26" s="4"/>
      <c r="I26" s="4"/>
      <c r="J26" s="4"/>
      <c r="K26" s="4"/>
      <c r="L26" s="20">
        <f t="shared" si="10"/>
        <v>0</v>
      </c>
      <c r="M26" s="241"/>
      <c r="N26" s="4"/>
      <c r="O26" s="78"/>
      <c r="P26" s="31"/>
    </row>
    <row r="27" spans="1:16" x14ac:dyDescent="0.3">
      <c r="A27" s="246"/>
      <c r="B27" s="262"/>
      <c r="C27" s="267"/>
      <c r="D27" s="267"/>
      <c r="E27" s="313"/>
      <c r="F27" s="31"/>
      <c r="G27" s="31"/>
      <c r="H27" s="4"/>
      <c r="I27" s="4"/>
      <c r="J27" s="4"/>
      <c r="K27" s="4"/>
      <c r="L27" s="20">
        <f t="shared" si="10"/>
        <v>0</v>
      </c>
      <c r="M27" s="241"/>
      <c r="N27" s="4"/>
      <c r="O27" s="72"/>
      <c r="P27" s="31"/>
    </row>
    <row r="28" spans="1:16" ht="15" thickBot="1" x14ac:dyDescent="0.35">
      <c r="A28" s="246"/>
      <c r="B28" s="262"/>
      <c r="C28" s="267"/>
      <c r="D28" s="267"/>
      <c r="E28" s="313"/>
      <c r="F28" s="38"/>
      <c r="G28" s="38"/>
      <c r="H28" s="6"/>
      <c r="I28" s="6"/>
      <c r="J28" s="6"/>
      <c r="K28" s="6"/>
      <c r="L28" s="20">
        <f t="shared" si="10"/>
        <v>0</v>
      </c>
      <c r="M28" s="242"/>
      <c r="N28" s="6"/>
      <c r="O28" s="90"/>
      <c r="P28" s="38"/>
    </row>
    <row r="29" spans="1:16" ht="15.6" thickTop="1" thickBot="1" x14ac:dyDescent="0.35">
      <c r="A29" s="247"/>
      <c r="B29" s="263"/>
      <c r="C29" s="268"/>
      <c r="D29" s="268"/>
      <c r="E29" s="314"/>
      <c r="F29" s="251"/>
      <c r="G29" s="252"/>
      <c r="H29" s="8">
        <f t="shared" ref="H29" si="11">SUM(H24:H28)</f>
        <v>0</v>
      </c>
      <c r="I29" s="8">
        <f t="shared" ref="I29" si="12">SUM(I24:I28)</f>
        <v>0</v>
      </c>
      <c r="J29" s="8">
        <f t="shared" ref="J29" si="13">SUM(J24:J28)</f>
        <v>0</v>
      </c>
      <c r="K29" s="8">
        <f t="shared" ref="K29" si="14">SUM(K24:K28)</f>
        <v>0</v>
      </c>
      <c r="L29" s="8">
        <f t="shared" ref="L29" si="15">SUM(L24:L28)</f>
        <v>0</v>
      </c>
      <c r="M29" s="8"/>
      <c r="N29" s="14">
        <f>M24-L29</f>
        <v>0</v>
      </c>
      <c r="O29" s="100"/>
      <c r="P29" s="8"/>
    </row>
    <row r="30" spans="1:16" ht="21.75" customHeight="1" thickTop="1" x14ac:dyDescent="0.3">
      <c r="A30" s="372" t="s">
        <v>15</v>
      </c>
      <c r="B30" s="373"/>
      <c r="C30" s="373"/>
      <c r="D30" s="373"/>
      <c r="E30" s="373"/>
      <c r="F30" s="373"/>
      <c r="G30" s="374"/>
      <c r="H30" s="2">
        <f t="shared" ref="H30:L30" si="16">+H29+H23+H17+H11</f>
        <v>1000</v>
      </c>
      <c r="I30" s="2">
        <f t="shared" si="16"/>
        <v>3000</v>
      </c>
      <c r="J30" s="2">
        <f t="shared" si="16"/>
        <v>3000</v>
      </c>
      <c r="K30" s="2">
        <f t="shared" si="16"/>
        <v>0</v>
      </c>
      <c r="L30" s="2">
        <f t="shared" si="16"/>
        <v>7000</v>
      </c>
      <c r="M30" s="2">
        <f>+M24+M18+M12+M6</f>
        <v>16000</v>
      </c>
      <c r="N30" s="2">
        <f>+N29+N23+N17+N11</f>
        <v>9000</v>
      </c>
      <c r="O30" s="83"/>
      <c r="P30" s="2">
        <f>+P29+P23+P17+P11</f>
        <v>0</v>
      </c>
    </row>
    <row r="32" spans="1:16" ht="15.6" x14ac:dyDescent="0.3">
      <c r="A32" s="1" t="s">
        <v>16</v>
      </c>
    </row>
    <row r="35" spans="3:4" x14ac:dyDescent="0.3">
      <c r="C35" t="s">
        <v>34</v>
      </c>
      <c r="D35">
        <v>0</v>
      </c>
    </row>
    <row r="36" spans="3:4" x14ac:dyDescent="0.3">
      <c r="C36" t="s">
        <v>51</v>
      </c>
      <c r="D36">
        <v>2</v>
      </c>
    </row>
    <row r="37" spans="3:4" x14ac:dyDescent="0.3">
      <c r="C37" t="s">
        <v>52</v>
      </c>
      <c r="D37">
        <v>1</v>
      </c>
    </row>
    <row r="38" spans="3:4" ht="18" x14ac:dyDescent="0.35">
      <c r="D38" s="158">
        <f>+D37+D36+D35</f>
        <v>3</v>
      </c>
    </row>
  </sheetData>
  <mergeCells count="33">
    <mergeCell ref="A30:G30"/>
    <mergeCell ref="A24:A29"/>
    <mergeCell ref="B24:B29"/>
    <mergeCell ref="C24:C29"/>
    <mergeCell ref="D24:D29"/>
    <mergeCell ref="E24:E29"/>
    <mergeCell ref="M24:M28"/>
    <mergeCell ref="F29:G29"/>
    <mergeCell ref="M12:M16"/>
    <mergeCell ref="F17:G17"/>
    <mergeCell ref="A18:A23"/>
    <mergeCell ref="B18:B23"/>
    <mergeCell ref="C18:C23"/>
    <mergeCell ref="D18:D23"/>
    <mergeCell ref="E18:E23"/>
    <mergeCell ref="M18:M22"/>
    <mergeCell ref="F23:G23"/>
    <mergeCell ref="A12:A17"/>
    <mergeCell ref="B12:B17"/>
    <mergeCell ref="C12:C17"/>
    <mergeCell ref="D12:D17"/>
    <mergeCell ref="E12:E17"/>
    <mergeCell ref="A1:O1"/>
    <mergeCell ref="A2:O2"/>
    <mergeCell ref="A3:O3"/>
    <mergeCell ref="A4:O4"/>
    <mergeCell ref="A6:A11"/>
    <mergeCell ref="B6:B11"/>
    <mergeCell ref="C6:C11"/>
    <mergeCell ref="D6:D11"/>
    <mergeCell ref="E6:E11"/>
    <mergeCell ref="M6:M10"/>
    <mergeCell ref="F11:G11"/>
  </mergeCells>
  <pageMargins left="0.15748031496062992" right="0" top="0.23622047244094491" bottom="0.15748031496062992" header="0.31496062992125984" footer="0.15748031496062992"/>
  <pageSetup paperSize="9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742"/>
  <sheetViews>
    <sheetView workbookViewId="0">
      <pane xSplit="5" ySplit="6" topLeftCell="F143" activePane="bottomRight" state="frozen"/>
      <selection pane="topRight" activeCell="F1" sqref="F1"/>
      <selection pane="bottomLeft" activeCell="A8" sqref="A8"/>
      <selection pane="bottomRight" activeCell="C145" sqref="C145:C150"/>
    </sheetView>
  </sheetViews>
  <sheetFormatPr defaultRowHeight="14.4" x14ac:dyDescent="0.3"/>
  <cols>
    <col min="1" max="1" width="3.88671875" customWidth="1"/>
    <col min="2" max="2" width="27.88671875" customWidth="1"/>
    <col min="3" max="3" width="7.33203125" customWidth="1"/>
    <col min="4" max="4" width="9" customWidth="1"/>
    <col min="5" max="5" width="10.33203125" customWidth="1"/>
    <col min="6" max="6" width="9.5546875" customWidth="1"/>
    <col min="7" max="7" width="11.6640625" customWidth="1"/>
    <col min="8" max="8" width="12" customWidth="1"/>
    <col min="9" max="9" width="12.44140625" customWidth="1"/>
    <col min="10" max="10" width="12.5546875" customWidth="1"/>
    <col min="11" max="11" width="15" style="84" customWidth="1"/>
    <col min="12" max="12" width="21.33203125" customWidth="1"/>
    <col min="13" max="13" width="15.109375" style="84" customWidth="1"/>
  </cols>
  <sheetData>
    <row r="1" spans="1:13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</row>
    <row r="2" spans="1:13" ht="24" customHeight="1" x14ac:dyDescent="0.4">
      <c r="A2" s="342" t="s">
        <v>11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</row>
    <row r="3" spans="1:13" ht="17.25" customHeight="1" thickBot="1" x14ac:dyDescent="0.35">
      <c r="A3" s="398" t="s">
        <v>12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</row>
    <row r="4" spans="1:13" ht="20.25" customHeight="1" x14ac:dyDescent="0.4">
      <c r="A4" s="437" t="s">
        <v>444</v>
      </c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</row>
    <row r="6" spans="1:13" ht="41.4" x14ac:dyDescent="0.3">
      <c r="A6" s="52" t="s">
        <v>0</v>
      </c>
      <c r="B6" s="53" t="s">
        <v>13</v>
      </c>
      <c r="C6" s="54" t="s">
        <v>14</v>
      </c>
      <c r="D6" s="55" t="s">
        <v>1</v>
      </c>
      <c r="E6" s="54" t="s">
        <v>2</v>
      </c>
      <c r="F6" s="54" t="s">
        <v>8</v>
      </c>
      <c r="G6" s="54" t="s">
        <v>9</v>
      </c>
      <c r="H6" s="54" t="s">
        <v>3</v>
      </c>
      <c r="I6" s="54" t="s">
        <v>15</v>
      </c>
      <c r="J6" s="54" t="s">
        <v>49</v>
      </c>
      <c r="K6" s="77" t="s">
        <v>6</v>
      </c>
      <c r="L6" s="54" t="s">
        <v>7</v>
      </c>
      <c r="M6" s="77" t="s">
        <v>79</v>
      </c>
    </row>
    <row r="7" spans="1:13" ht="15" customHeight="1" x14ac:dyDescent="0.3">
      <c r="A7" s="340">
        <v>1</v>
      </c>
      <c r="B7" s="386" t="s">
        <v>87</v>
      </c>
      <c r="C7" s="386" t="s">
        <v>88</v>
      </c>
      <c r="D7" s="386" t="s">
        <v>81</v>
      </c>
      <c r="E7" s="394" t="s">
        <v>82</v>
      </c>
      <c r="F7" s="16">
        <v>6545</v>
      </c>
      <c r="G7" s="27" t="s">
        <v>83</v>
      </c>
      <c r="H7" s="16">
        <v>1450</v>
      </c>
      <c r="I7" s="16">
        <f t="shared" ref="I7:I11" si="0">SUM(H7:H7)</f>
        <v>1450</v>
      </c>
      <c r="J7" s="340">
        <v>1450</v>
      </c>
      <c r="K7" s="71"/>
      <c r="L7" s="16" t="s">
        <v>84</v>
      </c>
      <c r="M7" s="114"/>
    </row>
    <row r="8" spans="1:13" x14ac:dyDescent="0.3">
      <c r="A8" s="340"/>
      <c r="B8" s="386"/>
      <c r="C8" s="386"/>
      <c r="D8" s="386"/>
      <c r="E8" s="394"/>
      <c r="F8" s="16"/>
      <c r="G8" s="27"/>
      <c r="H8" s="16"/>
      <c r="I8" s="16">
        <f t="shared" si="0"/>
        <v>0</v>
      </c>
      <c r="J8" s="340"/>
      <c r="K8" s="71"/>
      <c r="L8" s="46" t="s">
        <v>85</v>
      </c>
      <c r="M8" s="114"/>
    </row>
    <row r="9" spans="1:13" x14ac:dyDescent="0.3">
      <c r="A9" s="340"/>
      <c r="B9" s="386"/>
      <c r="C9" s="386"/>
      <c r="D9" s="386"/>
      <c r="E9" s="394"/>
      <c r="F9" s="16"/>
      <c r="G9" s="18"/>
      <c r="H9" s="16"/>
      <c r="I9" s="16">
        <f t="shared" si="0"/>
        <v>0</v>
      </c>
      <c r="J9" s="340"/>
      <c r="K9" s="71"/>
      <c r="L9" s="46" t="s">
        <v>86</v>
      </c>
      <c r="M9" s="114"/>
    </row>
    <row r="10" spans="1:13" x14ac:dyDescent="0.3">
      <c r="A10" s="340"/>
      <c r="B10" s="386"/>
      <c r="C10" s="386"/>
      <c r="D10" s="386"/>
      <c r="E10" s="394"/>
      <c r="F10" s="16"/>
      <c r="G10" s="16"/>
      <c r="H10" s="16"/>
      <c r="I10" s="16">
        <f t="shared" si="0"/>
        <v>0</v>
      </c>
      <c r="J10" s="340"/>
      <c r="K10" s="71"/>
      <c r="L10" s="16"/>
      <c r="M10" s="114"/>
    </row>
    <row r="11" spans="1:13" x14ac:dyDescent="0.3">
      <c r="A11" s="340"/>
      <c r="B11" s="386"/>
      <c r="C11" s="386"/>
      <c r="D11" s="386"/>
      <c r="E11" s="394"/>
      <c r="F11" s="16"/>
      <c r="G11" s="16"/>
      <c r="H11" s="16"/>
      <c r="I11" s="16">
        <f t="shared" si="0"/>
        <v>0</v>
      </c>
      <c r="J11" s="340"/>
      <c r="K11" s="71"/>
      <c r="L11" s="27"/>
      <c r="M11" s="114"/>
    </row>
    <row r="12" spans="1:13" x14ac:dyDescent="0.3">
      <c r="A12" s="340"/>
      <c r="B12" s="386"/>
      <c r="C12" s="386"/>
      <c r="D12" s="386"/>
      <c r="E12" s="394"/>
      <c r="F12" s="350" t="s">
        <v>17</v>
      </c>
      <c r="G12" s="350"/>
      <c r="H12" s="56">
        <f>SUM(H7:H11)</f>
        <v>1450</v>
      </c>
      <c r="I12" s="56">
        <f>SUM(I7:I11)</f>
        <v>1450</v>
      </c>
      <c r="J12" s="56"/>
      <c r="K12" s="79">
        <f>J7-I12</f>
        <v>0</v>
      </c>
      <c r="L12" s="56"/>
      <c r="M12" s="114"/>
    </row>
    <row r="13" spans="1:13" ht="15.75" customHeight="1" x14ac:dyDescent="0.3">
      <c r="A13" s="340">
        <v>2</v>
      </c>
      <c r="B13" s="386" t="s">
        <v>89</v>
      </c>
      <c r="C13" s="386" t="s">
        <v>80</v>
      </c>
      <c r="D13" s="386" t="s">
        <v>81</v>
      </c>
      <c r="E13" s="394" t="s">
        <v>82</v>
      </c>
      <c r="F13" s="16">
        <v>6546</v>
      </c>
      <c r="G13" s="27" t="s">
        <v>83</v>
      </c>
      <c r="H13" s="16">
        <v>1450</v>
      </c>
      <c r="I13" s="16">
        <f t="shared" ref="I13:I17" si="1">SUM(H13:H13)</f>
        <v>1450</v>
      </c>
      <c r="J13" s="340">
        <v>1450</v>
      </c>
      <c r="K13" s="71"/>
      <c r="L13" s="16" t="s">
        <v>84</v>
      </c>
      <c r="M13" s="114"/>
    </row>
    <row r="14" spans="1:13" x14ac:dyDescent="0.3">
      <c r="A14" s="340"/>
      <c r="B14" s="386"/>
      <c r="C14" s="386"/>
      <c r="D14" s="386"/>
      <c r="E14" s="394"/>
      <c r="F14" s="16"/>
      <c r="G14" s="27"/>
      <c r="H14" s="16"/>
      <c r="I14" s="16">
        <f t="shared" si="1"/>
        <v>0</v>
      </c>
      <c r="J14" s="340"/>
      <c r="K14" s="71"/>
      <c r="L14" s="46" t="s">
        <v>85</v>
      </c>
      <c r="M14" s="114"/>
    </row>
    <row r="15" spans="1:13" x14ac:dyDescent="0.3">
      <c r="A15" s="340"/>
      <c r="B15" s="386"/>
      <c r="C15" s="386"/>
      <c r="D15" s="386"/>
      <c r="E15" s="394"/>
      <c r="F15" s="16"/>
      <c r="G15" s="18"/>
      <c r="H15" s="16"/>
      <c r="I15" s="16">
        <f t="shared" si="1"/>
        <v>0</v>
      </c>
      <c r="J15" s="340"/>
      <c r="K15" s="71"/>
      <c r="L15" s="46" t="s">
        <v>86</v>
      </c>
      <c r="M15" s="114"/>
    </row>
    <row r="16" spans="1:13" x14ac:dyDescent="0.3">
      <c r="A16" s="340"/>
      <c r="B16" s="386"/>
      <c r="C16" s="386"/>
      <c r="D16" s="386"/>
      <c r="E16" s="394"/>
      <c r="F16" s="16"/>
      <c r="G16" s="16"/>
      <c r="H16" s="16"/>
      <c r="I16" s="16">
        <f t="shared" si="1"/>
        <v>0</v>
      </c>
      <c r="J16" s="340"/>
      <c r="K16" s="71"/>
      <c r="L16" s="16"/>
      <c r="M16" s="114"/>
    </row>
    <row r="17" spans="1:13" x14ac:dyDescent="0.3">
      <c r="A17" s="340"/>
      <c r="B17" s="386"/>
      <c r="C17" s="386"/>
      <c r="D17" s="386"/>
      <c r="E17" s="394"/>
      <c r="F17" s="16"/>
      <c r="G17" s="16"/>
      <c r="H17" s="16"/>
      <c r="I17" s="16">
        <f t="shared" si="1"/>
        <v>0</v>
      </c>
      <c r="J17" s="340"/>
      <c r="K17" s="71"/>
      <c r="L17" s="27"/>
      <c r="M17" s="114"/>
    </row>
    <row r="18" spans="1:13" x14ac:dyDescent="0.3">
      <c r="A18" s="340"/>
      <c r="B18" s="386"/>
      <c r="C18" s="386"/>
      <c r="D18" s="386"/>
      <c r="E18" s="394"/>
      <c r="F18" s="350" t="s">
        <v>17</v>
      </c>
      <c r="G18" s="350"/>
      <c r="H18" s="56">
        <f>SUM(H13:H17)</f>
        <v>1450</v>
      </c>
      <c r="I18" s="56">
        <f>SUM(I13:I17)</f>
        <v>1450</v>
      </c>
      <c r="J18" s="56"/>
      <c r="K18" s="79">
        <f>J13-I18</f>
        <v>0</v>
      </c>
      <c r="L18" s="56"/>
      <c r="M18" s="114"/>
    </row>
    <row r="19" spans="1:13" x14ac:dyDescent="0.3">
      <c r="A19" s="340">
        <v>3</v>
      </c>
      <c r="B19" s="386" t="s">
        <v>231</v>
      </c>
      <c r="C19" s="386" t="s">
        <v>90</v>
      </c>
      <c r="D19" s="386" t="s">
        <v>81</v>
      </c>
      <c r="E19" s="394" t="s">
        <v>91</v>
      </c>
      <c r="F19" s="16">
        <v>6618</v>
      </c>
      <c r="G19" s="27" t="s">
        <v>92</v>
      </c>
      <c r="H19" s="16">
        <v>2000</v>
      </c>
      <c r="I19" s="16">
        <f t="shared" ref="I19:I23" si="2">SUM(H19:H19)</f>
        <v>2000</v>
      </c>
      <c r="J19" s="340">
        <v>2900</v>
      </c>
      <c r="K19" s="71"/>
      <c r="L19" s="16" t="s">
        <v>93</v>
      </c>
      <c r="M19" s="114"/>
    </row>
    <row r="20" spans="1:13" x14ac:dyDescent="0.3">
      <c r="A20" s="340"/>
      <c r="B20" s="386"/>
      <c r="C20" s="386"/>
      <c r="D20" s="386"/>
      <c r="E20" s="394"/>
      <c r="F20" s="16">
        <v>6716</v>
      </c>
      <c r="G20" s="27" t="s">
        <v>235</v>
      </c>
      <c r="H20" s="16">
        <v>900</v>
      </c>
      <c r="I20" s="16">
        <f t="shared" si="2"/>
        <v>900</v>
      </c>
      <c r="J20" s="340"/>
      <c r="K20" s="71"/>
      <c r="L20" s="46" t="s">
        <v>85</v>
      </c>
      <c r="M20" s="114"/>
    </row>
    <row r="21" spans="1:13" x14ac:dyDescent="0.3">
      <c r="A21" s="340"/>
      <c r="B21" s="386"/>
      <c r="C21" s="386"/>
      <c r="D21" s="386"/>
      <c r="E21" s="394"/>
      <c r="F21" s="16"/>
      <c r="G21" s="18"/>
      <c r="H21" s="16"/>
      <c r="I21" s="16">
        <f t="shared" si="2"/>
        <v>0</v>
      </c>
      <c r="J21" s="340"/>
      <c r="K21" s="71"/>
      <c r="L21" s="46" t="s">
        <v>86</v>
      </c>
      <c r="M21" s="114"/>
    </row>
    <row r="22" spans="1:13" x14ac:dyDescent="0.3">
      <c r="A22" s="340"/>
      <c r="B22" s="386"/>
      <c r="C22" s="386"/>
      <c r="D22" s="386"/>
      <c r="E22" s="394"/>
      <c r="F22" s="16"/>
      <c r="G22" s="16"/>
      <c r="H22" s="16"/>
      <c r="I22" s="16">
        <f t="shared" si="2"/>
        <v>0</v>
      </c>
      <c r="J22" s="340"/>
      <c r="K22" s="71"/>
      <c r="L22" s="16"/>
      <c r="M22" s="114"/>
    </row>
    <row r="23" spans="1:13" x14ac:dyDescent="0.3">
      <c r="A23" s="340"/>
      <c r="B23" s="386"/>
      <c r="C23" s="386"/>
      <c r="D23" s="386"/>
      <c r="E23" s="394"/>
      <c r="F23" s="16"/>
      <c r="G23" s="16"/>
      <c r="H23" s="16"/>
      <c r="I23" s="16">
        <f t="shared" si="2"/>
        <v>0</v>
      </c>
      <c r="J23" s="340"/>
      <c r="K23" s="71"/>
      <c r="L23" s="27"/>
      <c r="M23" s="114"/>
    </row>
    <row r="24" spans="1:13" ht="15" thickBot="1" x14ac:dyDescent="0.35">
      <c r="A24" s="340"/>
      <c r="B24" s="386"/>
      <c r="C24" s="386"/>
      <c r="D24" s="386"/>
      <c r="E24" s="394"/>
      <c r="F24" s="350" t="s">
        <v>17</v>
      </c>
      <c r="G24" s="350"/>
      <c r="H24" s="56">
        <f>SUM(H19:H23)</f>
        <v>2900</v>
      </c>
      <c r="I24" s="56">
        <f>SUM(I19:I23)</f>
        <v>2900</v>
      </c>
      <c r="J24" s="56"/>
      <c r="K24" s="79">
        <f>J19-I24</f>
        <v>0</v>
      </c>
      <c r="L24" s="56"/>
      <c r="M24" s="114"/>
    </row>
    <row r="25" spans="1:13" ht="15.6" thickTop="1" thickBot="1" x14ac:dyDescent="0.35">
      <c r="A25" s="340">
        <f>1+A19</f>
        <v>4</v>
      </c>
      <c r="B25" s="328" t="s">
        <v>94</v>
      </c>
      <c r="C25" s="286" t="s">
        <v>101</v>
      </c>
      <c r="D25" s="286" t="s">
        <v>81</v>
      </c>
      <c r="E25" s="292" t="s">
        <v>95</v>
      </c>
      <c r="F25" s="15">
        <v>6620</v>
      </c>
      <c r="G25" s="28" t="s">
        <v>96</v>
      </c>
      <c r="H25" s="15">
        <v>2000</v>
      </c>
      <c r="I25" s="16">
        <f>SUM(H25:H25)</f>
        <v>2000</v>
      </c>
      <c r="J25" s="240">
        <v>5800</v>
      </c>
      <c r="K25" s="71"/>
      <c r="L25" s="133" t="s">
        <v>97</v>
      </c>
      <c r="M25" s="114"/>
    </row>
    <row r="26" spans="1:13" ht="15" thickTop="1" x14ac:dyDescent="0.3">
      <c r="A26" s="340"/>
      <c r="B26" s="287"/>
      <c r="C26" s="287"/>
      <c r="D26" s="287"/>
      <c r="E26" s="287"/>
      <c r="F26" s="16">
        <v>6677</v>
      </c>
      <c r="G26" s="27" t="s">
        <v>230</v>
      </c>
      <c r="H26" s="16">
        <v>3800</v>
      </c>
      <c r="I26" s="16">
        <f>SUM(H26:H26)</f>
        <v>3800</v>
      </c>
      <c r="J26" s="241"/>
      <c r="K26" s="71"/>
      <c r="L26" s="134" t="s">
        <v>85</v>
      </c>
      <c r="M26" s="114"/>
    </row>
    <row r="27" spans="1:13" x14ac:dyDescent="0.3">
      <c r="A27" s="340"/>
      <c r="B27" s="287"/>
      <c r="C27" s="287"/>
      <c r="D27" s="287"/>
      <c r="E27" s="287"/>
      <c r="F27" s="16"/>
      <c r="G27" s="18"/>
      <c r="H27" s="16"/>
      <c r="I27" s="16">
        <f>SUM(H27:H27)</f>
        <v>0</v>
      </c>
      <c r="J27" s="241"/>
      <c r="K27" s="71"/>
      <c r="L27" s="135" t="s">
        <v>86</v>
      </c>
      <c r="M27" s="114"/>
    </row>
    <row r="28" spans="1:13" x14ac:dyDescent="0.3">
      <c r="A28" s="340"/>
      <c r="B28" s="287"/>
      <c r="C28" s="287"/>
      <c r="D28" s="287"/>
      <c r="E28" s="287"/>
      <c r="F28" s="16"/>
      <c r="G28" s="16"/>
      <c r="H28" s="16"/>
      <c r="I28" s="16">
        <f>SUM(H28:H28)</f>
        <v>0</v>
      </c>
      <c r="J28" s="241"/>
      <c r="K28" s="71"/>
      <c r="L28" s="136"/>
      <c r="M28" s="114"/>
    </row>
    <row r="29" spans="1:13" ht="15" thickBot="1" x14ac:dyDescent="0.35">
      <c r="A29" s="340"/>
      <c r="B29" s="287"/>
      <c r="C29" s="287"/>
      <c r="D29" s="287"/>
      <c r="E29" s="287"/>
      <c r="F29" s="17"/>
      <c r="G29" s="17"/>
      <c r="H29" s="17"/>
      <c r="I29" s="17">
        <f>SUM(H29:H29)</f>
        <v>0</v>
      </c>
      <c r="J29" s="242"/>
      <c r="K29" s="87"/>
      <c r="L29" s="137"/>
      <c r="M29" s="114"/>
    </row>
    <row r="30" spans="1:13" ht="15.6" thickTop="1" thickBot="1" x14ac:dyDescent="0.35">
      <c r="A30" s="340"/>
      <c r="B30" s="288"/>
      <c r="C30" s="288"/>
      <c r="D30" s="288"/>
      <c r="E30" s="288"/>
      <c r="F30" s="243" t="s">
        <v>17</v>
      </c>
      <c r="G30" s="244"/>
      <c r="H30" s="8">
        <f t="shared" ref="H30:I30" si="3">SUM(H25:H29)</f>
        <v>5800</v>
      </c>
      <c r="I30" s="8">
        <f t="shared" si="3"/>
        <v>5800</v>
      </c>
      <c r="J30" s="8"/>
      <c r="K30" s="88">
        <f>J25-I30</f>
        <v>0</v>
      </c>
      <c r="L30" s="138"/>
      <c r="M30" s="114"/>
    </row>
    <row r="31" spans="1:13" ht="15.6" thickTop="1" thickBot="1" x14ac:dyDescent="0.35">
      <c r="A31" s="340">
        <f>1+A25</f>
        <v>5</v>
      </c>
      <c r="B31" s="328" t="s">
        <v>98</v>
      </c>
      <c r="C31" s="286" t="s">
        <v>102</v>
      </c>
      <c r="D31" s="286" t="s">
        <v>81</v>
      </c>
      <c r="E31" s="292" t="s">
        <v>99</v>
      </c>
      <c r="F31" s="15">
        <v>6551</v>
      </c>
      <c r="G31" s="28" t="s">
        <v>100</v>
      </c>
      <c r="H31" s="15">
        <v>1450</v>
      </c>
      <c r="I31" s="16">
        <f>SUM(H31:H31)</f>
        <v>1450</v>
      </c>
      <c r="J31" s="240">
        <v>1450</v>
      </c>
      <c r="K31" s="71"/>
      <c r="L31" s="133" t="s">
        <v>84</v>
      </c>
      <c r="M31" s="114"/>
    </row>
    <row r="32" spans="1:13" ht="15" thickTop="1" x14ac:dyDescent="0.3">
      <c r="A32" s="340"/>
      <c r="B32" s="287"/>
      <c r="C32" s="287"/>
      <c r="D32" s="287"/>
      <c r="E32" s="287"/>
      <c r="F32" s="16"/>
      <c r="G32" s="27"/>
      <c r="H32" s="16"/>
      <c r="I32" s="16">
        <f>SUM(H32:H32)</f>
        <v>0</v>
      </c>
      <c r="J32" s="241"/>
      <c r="K32" s="71"/>
      <c r="L32" s="134" t="s">
        <v>85</v>
      </c>
      <c r="M32" s="114"/>
    </row>
    <row r="33" spans="1:13" x14ac:dyDescent="0.3">
      <c r="A33" s="340"/>
      <c r="B33" s="287"/>
      <c r="C33" s="287"/>
      <c r="D33" s="287"/>
      <c r="E33" s="287"/>
      <c r="F33" s="16"/>
      <c r="G33" s="18"/>
      <c r="H33" s="16"/>
      <c r="I33" s="16">
        <f>SUM(H33:H33)</f>
        <v>0</v>
      </c>
      <c r="J33" s="241"/>
      <c r="K33" s="71"/>
      <c r="L33" s="135" t="s">
        <v>86</v>
      </c>
      <c r="M33" s="114"/>
    </row>
    <row r="34" spans="1:13" x14ac:dyDescent="0.3">
      <c r="A34" s="340"/>
      <c r="B34" s="287"/>
      <c r="C34" s="287"/>
      <c r="D34" s="287"/>
      <c r="E34" s="287"/>
      <c r="F34" s="16"/>
      <c r="G34" s="16"/>
      <c r="H34" s="16"/>
      <c r="I34" s="16">
        <f>SUM(H34:H34)</f>
        <v>0</v>
      </c>
      <c r="J34" s="241"/>
      <c r="K34" s="71"/>
      <c r="L34" s="136"/>
      <c r="M34" s="114"/>
    </row>
    <row r="35" spans="1:13" ht="15" thickBot="1" x14ac:dyDescent="0.35">
      <c r="A35" s="340"/>
      <c r="B35" s="287"/>
      <c r="C35" s="287"/>
      <c r="D35" s="287"/>
      <c r="E35" s="287"/>
      <c r="F35" s="17"/>
      <c r="G35" s="17"/>
      <c r="H35" s="17"/>
      <c r="I35" s="17">
        <f>SUM(H35:H35)</f>
        <v>0</v>
      </c>
      <c r="J35" s="242"/>
      <c r="K35" s="87"/>
      <c r="L35" s="137"/>
      <c r="M35" s="114"/>
    </row>
    <row r="36" spans="1:13" ht="15.6" thickTop="1" thickBot="1" x14ac:dyDescent="0.35">
      <c r="A36" s="340"/>
      <c r="B36" s="288"/>
      <c r="C36" s="288"/>
      <c r="D36" s="288"/>
      <c r="E36" s="288"/>
      <c r="F36" s="243" t="s">
        <v>17</v>
      </c>
      <c r="G36" s="244"/>
      <c r="H36" s="8">
        <f t="shared" ref="H36:I36" si="4">SUM(H31:H35)</f>
        <v>1450</v>
      </c>
      <c r="I36" s="8">
        <f t="shared" si="4"/>
        <v>1450</v>
      </c>
      <c r="J36" s="8"/>
      <c r="K36" s="88">
        <f>J31-I36</f>
        <v>0</v>
      </c>
      <c r="L36" s="138"/>
      <c r="M36" s="114"/>
    </row>
    <row r="37" spans="1:13" ht="15.6" thickTop="1" thickBot="1" x14ac:dyDescent="0.35">
      <c r="A37" s="241">
        <v>6</v>
      </c>
      <c r="B37" s="328" t="s">
        <v>474</v>
      </c>
      <c r="C37" s="328" t="s">
        <v>119</v>
      </c>
      <c r="D37" s="328" t="s">
        <v>475</v>
      </c>
      <c r="E37" s="292" t="s">
        <v>476</v>
      </c>
      <c r="F37" s="15">
        <v>6623</v>
      </c>
      <c r="G37" s="28" t="s">
        <v>100</v>
      </c>
      <c r="H37" s="15">
        <v>2800</v>
      </c>
      <c r="I37" s="16">
        <f>SUM(H37:H37)</f>
        <v>2800</v>
      </c>
      <c r="J37" s="248">
        <v>2800</v>
      </c>
      <c r="K37" s="71"/>
      <c r="L37" s="133" t="s">
        <v>93</v>
      </c>
      <c r="M37" s="114"/>
    </row>
    <row r="38" spans="1:13" ht="15" thickTop="1" x14ac:dyDescent="0.3">
      <c r="A38" s="241"/>
      <c r="B38" s="287"/>
      <c r="C38" s="287"/>
      <c r="D38" s="287"/>
      <c r="E38" s="354"/>
      <c r="F38" s="16"/>
      <c r="G38" s="27"/>
      <c r="H38" s="16"/>
      <c r="I38" s="16">
        <f>SUM(H38:H38)</f>
        <v>0</v>
      </c>
      <c r="J38" s="241"/>
      <c r="K38" s="71"/>
      <c r="L38" s="134" t="s">
        <v>85</v>
      </c>
      <c r="M38" s="114"/>
    </row>
    <row r="39" spans="1:13" x14ac:dyDescent="0.3">
      <c r="A39" s="241"/>
      <c r="B39" s="287"/>
      <c r="C39" s="287"/>
      <c r="D39" s="287"/>
      <c r="E39" s="354"/>
      <c r="F39" s="16"/>
      <c r="G39" s="18"/>
      <c r="H39" s="16"/>
      <c r="I39" s="16">
        <f>SUM(H39:H39)</f>
        <v>0</v>
      </c>
      <c r="J39" s="241"/>
      <c r="K39" s="71"/>
      <c r="L39" s="135" t="s">
        <v>86</v>
      </c>
      <c r="M39" s="114"/>
    </row>
    <row r="40" spans="1:13" x14ac:dyDescent="0.3">
      <c r="A40" s="241"/>
      <c r="B40" s="287"/>
      <c r="C40" s="287"/>
      <c r="D40" s="287"/>
      <c r="E40" s="354"/>
      <c r="F40" s="16"/>
      <c r="G40" s="16"/>
      <c r="H40" s="16"/>
      <c r="I40" s="16">
        <f>SUM(H40:H40)</f>
        <v>0</v>
      </c>
      <c r="J40" s="241"/>
      <c r="K40" s="71"/>
      <c r="L40" s="136"/>
      <c r="M40" s="114"/>
    </row>
    <row r="41" spans="1:13" ht="15" thickBot="1" x14ac:dyDescent="0.35">
      <c r="A41" s="241"/>
      <c r="B41" s="287"/>
      <c r="C41" s="287"/>
      <c r="D41" s="287"/>
      <c r="E41" s="354"/>
      <c r="F41" s="17"/>
      <c r="G41" s="17"/>
      <c r="H41" s="17"/>
      <c r="I41" s="16">
        <f>SUM(H41:H41)</f>
        <v>0</v>
      </c>
      <c r="J41" s="242"/>
      <c r="K41" s="87"/>
      <c r="L41" s="137"/>
      <c r="M41" s="114"/>
    </row>
    <row r="42" spans="1:13" ht="15.6" thickTop="1" thickBot="1" x14ac:dyDescent="0.35">
      <c r="A42" s="242"/>
      <c r="B42" s="287"/>
      <c r="C42" s="287"/>
      <c r="D42" s="287"/>
      <c r="E42" s="354"/>
      <c r="F42" s="444" t="s">
        <v>17</v>
      </c>
      <c r="G42" s="445"/>
      <c r="H42" s="68">
        <f>SUM(H37:H41)</f>
        <v>2800</v>
      </c>
      <c r="I42" s="68">
        <f>SUM(I37:I41)</f>
        <v>2800</v>
      </c>
      <c r="J42" s="68"/>
      <c r="K42" s="92">
        <f>J37-I42</f>
        <v>0</v>
      </c>
      <c r="L42" s="192"/>
      <c r="M42" s="114"/>
    </row>
    <row r="43" spans="1:13" ht="15.6" thickTop="1" thickBot="1" x14ac:dyDescent="0.35">
      <c r="A43" s="246">
        <v>7</v>
      </c>
      <c r="B43" s="328" t="s">
        <v>477</v>
      </c>
      <c r="C43" s="328" t="s">
        <v>119</v>
      </c>
      <c r="D43" s="328" t="s">
        <v>81</v>
      </c>
      <c r="E43" s="292" t="s">
        <v>871</v>
      </c>
      <c r="F43" s="15">
        <v>6649</v>
      </c>
      <c r="G43" s="28" t="s">
        <v>106</v>
      </c>
      <c r="H43" s="15">
        <v>4200</v>
      </c>
      <c r="I43" s="16">
        <f>SUM(H43:H43)</f>
        <v>4200</v>
      </c>
      <c r="J43" s="282">
        <v>4200</v>
      </c>
      <c r="K43" s="72"/>
      <c r="L43" s="133" t="s">
        <v>478</v>
      </c>
      <c r="M43" s="204"/>
    </row>
    <row r="44" spans="1:13" ht="15" thickTop="1" x14ac:dyDescent="0.3">
      <c r="A44" s="246"/>
      <c r="B44" s="287"/>
      <c r="C44" s="287"/>
      <c r="D44" s="287"/>
      <c r="E44" s="354"/>
      <c r="F44" s="16"/>
      <c r="G44" s="27"/>
      <c r="H44" s="16"/>
      <c r="I44" s="16">
        <f>SUM(H44:H44)</f>
        <v>0</v>
      </c>
      <c r="J44" s="246"/>
      <c r="K44" s="72"/>
      <c r="L44" s="205" t="s">
        <v>85</v>
      </c>
      <c r="M44" s="204"/>
    </row>
    <row r="45" spans="1:13" x14ac:dyDescent="0.3">
      <c r="A45" s="246"/>
      <c r="B45" s="287"/>
      <c r="C45" s="287"/>
      <c r="D45" s="287"/>
      <c r="E45" s="354"/>
      <c r="F45" s="16"/>
      <c r="G45" s="18"/>
      <c r="H45" s="16"/>
      <c r="I45" s="16">
        <f>SUM(H45:H45)</f>
        <v>0</v>
      </c>
      <c r="J45" s="246"/>
      <c r="K45" s="72"/>
      <c r="L45" s="206" t="s">
        <v>86</v>
      </c>
      <c r="M45" s="204"/>
    </row>
    <row r="46" spans="1:13" x14ac:dyDescent="0.3">
      <c r="A46" s="246"/>
      <c r="B46" s="287"/>
      <c r="C46" s="287"/>
      <c r="D46" s="287"/>
      <c r="E46" s="354"/>
      <c r="F46" s="16"/>
      <c r="G46" s="16"/>
      <c r="H46" s="16"/>
      <c r="I46" s="16">
        <f>SUM(H46:H46)</f>
        <v>0</v>
      </c>
      <c r="J46" s="246"/>
      <c r="K46" s="72"/>
      <c r="L46" s="136"/>
      <c r="M46" s="204"/>
    </row>
    <row r="47" spans="1:13" ht="15" thickBot="1" x14ac:dyDescent="0.35">
      <c r="A47" s="246"/>
      <c r="B47" s="287"/>
      <c r="C47" s="287"/>
      <c r="D47" s="287"/>
      <c r="E47" s="354"/>
      <c r="F47" s="17"/>
      <c r="G47" s="17"/>
      <c r="H47" s="17"/>
      <c r="I47" s="17">
        <f>SUM(H47:H47)</f>
        <v>0</v>
      </c>
      <c r="J47" s="247"/>
      <c r="K47" s="90"/>
      <c r="L47" s="137"/>
      <c r="M47" s="204"/>
    </row>
    <row r="48" spans="1:13" ht="15.6" thickTop="1" thickBot="1" x14ac:dyDescent="0.35">
      <c r="A48" s="247"/>
      <c r="B48" s="288"/>
      <c r="C48" s="288"/>
      <c r="D48" s="288"/>
      <c r="E48" s="441"/>
      <c r="F48" s="446" t="s">
        <v>17</v>
      </c>
      <c r="G48" s="447"/>
      <c r="H48" s="210">
        <f>SUM(H43:H47)</f>
        <v>4200</v>
      </c>
      <c r="I48" s="210">
        <f>SUM(I43:I47)</f>
        <v>4200</v>
      </c>
      <c r="J48" s="210"/>
      <c r="K48" s="211">
        <f>J43-I48</f>
        <v>0</v>
      </c>
      <c r="L48" s="212"/>
      <c r="M48" s="204"/>
    </row>
    <row r="49" spans="1:13" ht="15" thickTop="1" x14ac:dyDescent="0.3">
      <c r="A49" s="340">
        <f>1+A43</f>
        <v>8</v>
      </c>
      <c r="B49" s="328" t="s">
        <v>103</v>
      </c>
      <c r="C49" s="286" t="s">
        <v>104</v>
      </c>
      <c r="D49" s="286" t="s">
        <v>81</v>
      </c>
      <c r="E49" s="292" t="s">
        <v>105</v>
      </c>
      <c r="F49" s="16">
        <v>6651</v>
      </c>
      <c r="G49" s="27" t="s">
        <v>106</v>
      </c>
      <c r="H49" s="16">
        <v>300</v>
      </c>
      <c r="I49" s="16">
        <f t="shared" ref="I49:I53" si="5">SUM(H49:H49)</f>
        <v>300</v>
      </c>
      <c r="J49" s="340">
        <v>300</v>
      </c>
      <c r="K49" s="71"/>
      <c r="L49" s="16" t="s">
        <v>107</v>
      </c>
      <c r="M49" s="114"/>
    </row>
    <row r="50" spans="1:13" x14ac:dyDescent="0.3">
      <c r="A50" s="340"/>
      <c r="B50" s="287"/>
      <c r="C50" s="287"/>
      <c r="D50" s="287"/>
      <c r="E50" s="287"/>
      <c r="F50" s="16"/>
      <c r="G50" s="27"/>
      <c r="H50" s="16"/>
      <c r="I50" s="16">
        <f t="shared" si="5"/>
        <v>0</v>
      </c>
      <c r="J50" s="340"/>
      <c r="K50" s="71"/>
      <c r="L50" s="46" t="s">
        <v>85</v>
      </c>
      <c r="M50" s="114"/>
    </row>
    <row r="51" spans="1:13" x14ac:dyDescent="0.3">
      <c r="A51" s="340"/>
      <c r="B51" s="287"/>
      <c r="C51" s="287"/>
      <c r="D51" s="287"/>
      <c r="E51" s="287"/>
      <c r="F51" s="16"/>
      <c r="G51" s="18"/>
      <c r="H51" s="16"/>
      <c r="I51" s="16">
        <f t="shared" si="5"/>
        <v>0</v>
      </c>
      <c r="J51" s="340"/>
      <c r="K51" s="71"/>
      <c r="L51" s="46" t="s">
        <v>86</v>
      </c>
      <c r="M51" s="114"/>
    </row>
    <row r="52" spans="1:13" x14ac:dyDescent="0.3">
      <c r="A52" s="340"/>
      <c r="B52" s="287"/>
      <c r="C52" s="287"/>
      <c r="D52" s="287"/>
      <c r="E52" s="287"/>
      <c r="F52" s="16"/>
      <c r="G52" s="16"/>
      <c r="H52" s="16"/>
      <c r="I52" s="16">
        <f t="shared" si="5"/>
        <v>0</v>
      </c>
      <c r="J52" s="340"/>
      <c r="K52" s="71"/>
      <c r="L52" s="16"/>
      <c r="M52" s="114"/>
    </row>
    <row r="53" spans="1:13" x14ac:dyDescent="0.3">
      <c r="A53" s="340"/>
      <c r="B53" s="287"/>
      <c r="C53" s="287"/>
      <c r="D53" s="287"/>
      <c r="E53" s="287"/>
      <c r="F53" s="16"/>
      <c r="G53" s="16"/>
      <c r="H53" s="16"/>
      <c r="I53" s="16">
        <f t="shared" si="5"/>
        <v>0</v>
      </c>
      <c r="J53" s="340"/>
      <c r="K53" s="71"/>
      <c r="L53" s="27"/>
      <c r="M53" s="114"/>
    </row>
    <row r="54" spans="1:13" ht="15" thickBot="1" x14ac:dyDescent="0.35">
      <c r="A54" s="340"/>
      <c r="B54" s="288"/>
      <c r="C54" s="288"/>
      <c r="D54" s="288"/>
      <c r="E54" s="288"/>
      <c r="F54" s="350" t="s">
        <v>17</v>
      </c>
      <c r="G54" s="350"/>
      <c r="H54" s="56">
        <f>SUM(H49:H53)</f>
        <v>300</v>
      </c>
      <c r="I54" s="56">
        <f>SUM(I49:I53)</f>
        <v>300</v>
      </c>
      <c r="J54" s="56"/>
      <c r="K54" s="79">
        <f>J49-I54</f>
        <v>0</v>
      </c>
      <c r="L54" s="56"/>
      <c r="M54" s="114"/>
    </row>
    <row r="55" spans="1:13" ht="15" thickTop="1" x14ac:dyDescent="0.3">
      <c r="A55" s="241">
        <f>1+A49</f>
        <v>9</v>
      </c>
      <c r="B55" s="328" t="s">
        <v>108</v>
      </c>
      <c r="C55" s="286" t="s">
        <v>109</v>
      </c>
      <c r="D55" s="286" t="s">
        <v>81</v>
      </c>
      <c r="E55" s="292" t="s">
        <v>111</v>
      </c>
      <c r="F55" s="16">
        <v>6657</v>
      </c>
      <c r="G55" s="27" t="s">
        <v>112</v>
      </c>
      <c r="H55" s="16">
        <v>1450</v>
      </c>
      <c r="I55" s="16">
        <f t="shared" ref="I55:I59" si="6">SUM(H55:H55)</f>
        <v>1450</v>
      </c>
      <c r="J55" s="340">
        <v>1450</v>
      </c>
      <c r="K55" s="71"/>
      <c r="L55" s="16" t="s">
        <v>84</v>
      </c>
      <c r="M55" s="114"/>
    </row>
    <row r="56" spans="1:13" x14ac:dyDescent="0.3">
      <c r="A56" s="241"/>
      <c r="B56" s="287"/>
      <c r="C56" s="287"/>
      <c r="D56" s="287"/>
      <c r="E56" s="287"/>
      <c r="F56" s="16"/>
      <c r="G56" s="27"/>
      <c r="H56" s="16"/>
      <c r="I56" s="16">
        <f t="shared" si="6"/>
        <v>0</v>
      </c>
      <c r="J56" s="340"/>
      <c r="K56" s="71"/>
      <c r="L56" s="46" t="s">
        <v>85</v>
      </c>
      <c r="M56" s="114"/>
    </row>
    <row r="57" spans="1:13" x14ac:dyDescent="0.3">
      <c r="A57" s="241"/>
      <c r="B57" s="287"/>
      <c r="C57" s="287"/>
      <c r="D57" s="287"/>
      <c r="E57" s="287"/>
      <c r="F57" s="16"/>
      <c r="G57" s="18"/>
      <c r="H57" s="16"/>
      <c r="I57" s="16">
        <f t="shared" si="6"/>
        <v>0</v>
      </c>
      <c r="J57" s="340"/>
      <c r="K57" s="71"/>
      <c r="L57" s="46" t="s">
        <v>86</v>
      </c>
      <c r="M57" s="114"/>
    </row>
    <row r="58" spans="1:13" x14ac:dyDescent="0.3">
      <c r="A58" s="241"/>
      <c r="B58" s="287"/>
      <c r="C58" s="287"/>
      <c r="D58" s="287"/>
      <c r="E58" s="287"/>
      <c r="F58" s="16"/>
      <c r="G58" s="16"/>
      <c r="H58" s="16"/>
      <c r="I58" s="16">
        <f t="shared" si="6"/>
        <v>0</v>
      </c>
      <c r="J58" s="340"/>
      <c r="K58" s="71"/>
      <c r="L58" s="16"/>
      <c r="M58" s="114"/>
    </row>
    <row r="59" spans="1:13" x14ac:dyDescent="0.3">
      <c r="A59" s="241"/>
      <c r="B59" s="287"/>
      <c r="C59" s="287"/>
      <c r="D59" s="287"/>
      <c r="E59" s="287"/>
      <c r="F59" s="16"/>
      <c r="G59" s="16"/>
      <c r="H59" s="16"/>
      <c r="I59" s="16">
        <f t="shared" si="6"/>
        <v>0</v>
      </c>
      <c r="J59" s="340"/>
      <c r="K59" s="71"/>
      <c r="L59" s="27"/>
      <c r="M59" s="114"/>
    </row>
    <row r="60" spans="1:13" ht="15" thickBot="1" x14ac:dyDescent="0.35">
      <c r="A60" s="242"/>
      <c r="B60" s="288"/>
      <c r="C60" s="288"/>
      <c r="D60" s="288"/>
      <c r="E60" s="288"/>
      <c r="F60" s="350" t="s">
        <v>17</v>
      </c>
      <c r="G60" s="350"/>
      <c r="H60" s="56">
        <f>SUM(H55:H59)</f>
        <v>1450</v>
      </c>
      <c r="I60" s="56">
        <f>SUM(I55:I59)</f>
        <v>1450</v>
      </c>
      <c r="J60" s="56"/>
      <c r="K60" s="79">
        <f>J55-I60</f>
        <v>0</v>
      </c>
      <c r="L60" s="56"/>
      <c r="M60" s="114"/>
    </row>
    <row r="61" spans="1:13" ht="16.5" customHeight="1" thickTop="1" x14ac:dyDescent="0.3">
      <c r="A61" s="340">
        <f t="shared" ref="A61" si="7">1+A55</f>
        <v>10</v>
      </c>
      <c r="B61" s="328" t="s">
        <v>113</v>
      </c>
      <c r="C61" s="286" t="s">
        <v>114</v>
      </c>
      <c r="D61" s="286" t="s">
        <v>81</v>
      </c>
      <c r="E61" s="292" t="s">
        <v>115</v>
      </c>
      <c r="F61" s="16">
        <v>6556</v>
      </c>
      <c r="G61" s="27" t="s">
        <v>106</v>
      </c>
      <c r="H61" s="16">
        <v>1450</v>
      </c>
      <c r="I61" s="16">
        <f t="shared" ref="I61:I65" si="8">SUM(H61:H61)</f>
        <v>1450</v>
      </c>
      <c r="J61" s="340">
        <v>1450</v>
      </c>
      <c r="K61" s="71"/>
      <c r="L61" s="16" t="s">
        <v>84</v>
      </c>
      <c r="M61" s="114"/>
    </row>
    <row r="62" spans="1:13" x14ac:dyDescent="0.3">
      <c r="A62" s="340"/>
      <c r="B62" s="287"/>
      <c r="C62" s="287"/>
      <c r="D62" s="287"/>
      <c r="E62" s="287"/>
      <c r="F62" s="16"/>
      <c r="G62" s="27"/>
      <c r="H62" s="16"/>
      <c r="I62" s="16">
        <f t="shared" si="8"/>
        <v>0</v>
      </c>
      <c r="J62" s="340"/>
      <c r="K62" s="71"/>
      <c r="L62" s="46" t="s">
        <v>85</v>
      </c>
      <c r="M62" s="114"/>
    </row>
    <row r="63" spans="1:13" x14ac:dyDescent="0.3">
      <c r="A63" s="340"/>
      <c r="B63" s="287"/>
      <c r="C63" s="287"/>
      <c r="D63" s="287"/>
      <c r="E63" s="287"/>
      <c r="F63" s="16"/>
      <c r="G63" s="18"/>
      <c r="H63" s="16"/>
      <c r="I63" s="16">
        <f t="shared" si="8"/>
        <v>0</v>
      </c>
      <c r="J63" s="340"/>
      <c r="K63" s="71"/>
      <c r="L63" s="46" t="s">
        <v>86</v>
      </c>
      <c r="M63" s="114"/>
    </row>
    <row r="64" spans="1:13" x14ac:dyDescent="0.3">
      <c r="A64" s="340"/>
      <c r="B64" s="287"/>
      <c r="C64" s="287"/>
      <c r="D64" s="287"/>
      <c r="E64" s="287"/>
      <c r="F64" s="16"/>
      <c r="G64" s="16"/>
      <c r="H64" s="16"/>
      <c r="I64" s="16">
        <f t="shared" si="8"/>
        <v>0</v>
      </c>
      <c r="J64" s="340"/>
      <c r="K64" s="71"/>
      <c r="L64" s="16"/>
      <c r="M64" s="114"/>
    </row>
    <row r="65" spans="1:13" x14ac:dyDescent="0.3">
      <c r="A65" s="340"/>
      <c r="B65" s="287"/>
      <c r="C65" s="287"/>
      <c r="D65" s="287"/>
      <c r="E65" s="287"/>
      <c r="F65" s="16"/>
      <c r="G65" s="16"/>
      <c r="H65" s="16"/>
      <c r="I65" s="16">
        <f t="shared" si="8"/>
        <v>0</v>
      </c>
      <c r="J65" s="340"/>
      <c r="K65" s="71"/>
      <c r="L65" s="27"/>
      <c r="M65" s="114"/>
    </row>
    <row r="66" spans="1:13" ht="15" thickBot="1" x14ac:dyDescent="0.35">
      <c r="A66" s="340"/>
      <c r="B66" s="288"/>
      <c r="C66" s="288"/>
      <c r="D66" s="288"/>
      <c r="E66" s="288"/>
      <c r="F66" s="350" t="s">
        <v>17</v>
      </c>
      <c r="G66" s="350"/>
      <c r="H66" s="56">
        <f>SUM(H61:H65)</f>
        <v>1450</v>
      </c>
      <c r="I66" s="56">
        <f>SUM(I61:I65)</f>
        <v>1450</v>
      </c>
      <c r="J66" s="56"/>
      <c r="K66" s="79">
        <f>J61-I66</f>
        <v>0</v>
      </c>
      <c r="L66" s="56"/>
      <c r="M66" s="114"/>
    </row>
    <row r="67" spans="1:13" ht="16.5" customHeight="1" thickTop="1" x14ac:dyDescent="0.3">
      <c r="A67" s="241">
        <v>11</v>
      </c>
      <c r="B67" s="328" t="s">
        <v>116</v>
      </c>
      <c r="C67" s="286" t="s">
        <v>117</v>
      </c>
      <c r="D67" s="286" t="s">
        <v>81</v>
      </c>
      <c r="E67" s="292" t="s">
        <v>111</v>
      </c>
      <c r="F67" s="16">
        <v>6654</v>
      </c>
      <c r="G67" s="27" t="s">
        <v>110</v>
      </c>
      <c r="H67" s="16">
        <v>1450</v>
      </c>
      <c r="I67" s="16">
        <f t="shared" ref="I67:I71" si="9">SUM(H67:H67)</f>
        <v>1450</v>
      </c>
      <c r="J67" s="340">
        <v>1450</v>
      </c>
      <c r="K67" s="71"/>
      <c r="L67" s="16" t="s">
        <v>84</v>
      </c>
      <c r="M67" s="114"/>
    </row>
    <row r="68" spans="1:13" x14ac:dyDescent="0.3">
      <c r="A68" s="241"/>
      <c r="B68" s="287"/>
      <c r="C68" s="287"/>
      <c r="D68" s="287"/>
      <c r="E68" s="287"/>
      <c r="F68" s="16"/>
      <c r="G68" s="27"/>
      <c r="H68" s="16"/>
      <c r="I68" s="16">
        <f t="shared" si="9"/>
        <v>0</v>
      </c>
      <c r="J68" s="340"/>
      <c r="K68" s="71"/>
      <c r="L68" s="46" t="s">
        <v>85</v>
      </c>
      <c r="M68" s="114"/>
    </row>
    <row r="69" spans="1:13" x14ac:dyDescent="0.3">
      <c r="A69" s="241"/>
      <c r="B69" s="287"/>
      <c r="C69" s="287"/>
      <c r="D69" s="287"/>
      <c r="E69" s="287"/>
      <c r="F69" s="16"/>
      <c r="G69" s="18"/>
      <c r="H69" s="16"/>
      <c r="I69" s="16">
        <f t="shared" si="9"/>
        <v>0</v>
      </c>
      <c r="J69" s="340"/>
      <c r="K69" s="71"/>
      <c r="L69" s="46" t="s">
        <v>86</v>
      </c>
      <c r="M69" s="114"/>
    </row>
    <row r="70" spans="1:13" x14ac:dyDescent="0.3">
      <c r="A70" s="241"/>
      <c r="B70" s="287"/>
      <c r="C70" s="287"/>
      <c r="D70" s="287"/>
      <c r="E70" s="287"/>
      <c r="F70" s="16"/>
      <c r="G70" s="16"/>
      <c r="H70" s="16"/>
      <c r="I70" s="16">
        <f t="shared" si="9"/>
        <v>0</v>
      </c>
      <c r="J70" s="340"/>
      <c r="K70" s="71"/>
      <c r="L70" s="16"/>
      <c r="M70" s="114"/>
    </row>
    <row r="71" spans="1:13" x14ac:dyDescent="0.3">
      <c r="A71" s="241"/>
      <c r="B71" s="287"/>
      <c r="C71" s="287"/>
      <c r="D71" s="287"/>
      <c r="E71" s="287"/>
      <c r="F71" s="16"/>
      <c r="G71" s="16"/>
      <c r="H71" s="16"/>
      <c r="I71" s="16">
        <f t="shared" si="9"/>
        <v>0</v>
      </c>
      <c r="J71" s="340"/>
      <c r="K71" s="71"/>
      <c r="L71" s="27"/>
      <c r="M71" s="114"/>
    </row>
    <row r="72" spans="1:13" ht="15" thickBot="1" x14ac:dyDescent="0.35">
      <c r="A72" s="242"/>
      <c r="B72" s="288"/>
      <c r="C72" s="288"/>
      <c r="D72" s="288"/>
      <c r="E72" s="288"/>
      <c r="F72" s="350" t="s">
        <v>17</v>
      </c>
      <c r="G72" s="350"/>
      <c r="H72" s="56">
        <f>SUM(H67:H71)</f>
        <v>1450</v>
      </c>
      <c r="I72" s="56">
        <f>SUM(I67:I71)</f>
        <v>1450</v>
      </c>
      <c r="J72" s="56"/>
      <c r="K72" s="79">
        <f>J67-I72</f>
        <v>0</v>
      </c>
      <c r="L72" s="56"/>
      <c r="M72" s="114"/>
    </row>
    <row r="73" spans="1:13" ht="16.5" customHeight="1" thickTop="1" x14ac:dyDescent="0.3">
      <c r="A73" s="340">
        <f t="shared" ref="A73" si="10">1+A67</f>
        <v>12</v>
      </c>
      <c r="B73" s="328" t="s">
        <v>118</v>
      </c>
      <c r="C73" s="286" t="s">
        <v>119</v>
      </c>
      <c r="D73" s="286" t="s">
        <v>121</v>
      </c>
      <c r="E73" s="292" t="s">
        <v>120</v>
      </c>
      <c r="F73" s="16">
        <v>6660</v>
      </c>
      <c r="G73" s="27" t="s">
        <v>122</v>
      </c>
      <c r="H73" s="16">
        <v>1450</v>
      </c>
      <c r="I73" s="16">
        <f t="shared" ref="I73:I77" si="11">SUM(H73:H73)</f>
        <v>1450</v>
      </c>
      <c r="J73" s="340">
        <v>1450</v>
      </c>
      <c r="K73" s="71"/>
      <c r="L73" s="16" t="s">
        <v>84</v>
      </c>
      <c r="M73" s="114"/>
    </row>
    <row r="74" spans="1:13" x14ac:dyDescent="0.3">
      <c r="A74" s="340"/>
      <c r="B74" s="287"/>
      <c r="C74" s="287"/>
      <c r="D74" s="287"/>
      <c r="E74" s="287"/>
      <c r="F74" s="16"/>
      <c r="G74" s="27"/>
      <c r="H74" s="16"/>
      <c r="I74" s="16">
        <f t="shared" si="11"/>
        <v>0</v>
      </c>
      <c r="J74" s="340"/>
      <c r="K74" s="71"/>
      <c r="L74" s="46" t="s">
        <v>85</v>
      </c>
      <c r="M74" s="114"/>
    </row>
    <row r="75" spans="1:13" x14ac:dyDescent="0.3">
      <c r="A75" s="340"/>
      <c r="B75" s="287"/>
      <c r="C75" s="287"/>
      <c r="D75" s="287"/>
      <c r="E75" s="287"/>
      <c r="F75" s="16"/>
      <c r="G75" s="18"/>
      <c r="H75" s="16"/>
      <c r="I75" s="16">
        <f t="shared" si="11"/>
        <v>0</v>
      </c>
      <c r="J75" s="340"/>
      <c r="K75" s="71"/>
      <c r="L75" s="46" t="s">
        <v>86</v>
      </c>
      <c r="M75" s="114"/>
    </row>
    <row r="76" spans="1:13" x14ac:dyDescent="0.3">
      <c r="A76" s="340"/>
      <c r="B76" s="287"/>
      <c r="C76" s="287"/>
      <c r="D76" s="287"/>
      <c r="E76" s="287"/>
      <c r="F76" s="16"/>
      <c r="G76" s="16"/>
      <c r="H76" s="16"/>
      <c r="I76" s="16">
        <f t="shared" si="11"/>
        <v>0</v>
      </c>
      <c r="J76" s="340"/>
      <c r="K76" s="71"/>
      <c r="L76" s="16"/>
      <c r="M76" s="114"/>
    </row>
    <row r="77" spans="1:13" x14ac:dyDescent="0.3">
      <c r="A77" s="340"/>
      <c r="B77" s="287"/>
      <c r="C77" s="287"/>
      <c r="D77" s="287"/>
      <c r="E77" s="287"/>
      <c r="F77" s="16"/>
      <c r="G77" s="16"/>
      <c r="H77" s="16"/>
      <c r="I77" s="16">
        <f t="shared" si="11"/>
        <v>0</v>
      </c>
      <c r="J77" s="340"/>
      <c r="K77" s="71"/>
      <c r="L77" s="27"/>
      <c r="M77" s="114"/>
    </row>
    <row r="78" spans="1:13" ht="15" thickBot="1" x14ac:dyDescent="0.35">
      <c r="A78" s="340"/>
      <c r="B78" s="288"/>
      <c r="C78" s="288"/>
      <c r="D78" s="288"/>
      <c r="E78" s="288"/>
      <c r="F78" s="350" t="s">
        <v>17</v>
      </c>
      <c r="G78" s="350"/>
      <c r="H78" s="56">
        <f>SUM(H73:H77)</f>
        <v>1450</v>
      </c>
      <c r="I78" s="56">
        <f>SUM(I73:I77)</f>
        <v>1450</v>
      </c>
      <c r="J78" s="56"/>
      <c r="K78" s="79">
        <f>J73-I78</f>
        <v>0</v>
      </c>
      <c r="L78" s="56"/>
      <c r="M78" s="114"/>
    </row>
    <row r="79" spans="1:13" ht="15" thickTop="1" x14ac:dyDescent="0.3">
      <c r="A79" s="241">
        <v>13</v>
      </c>
      <c r="B79" s="328" t="s">
        <v>123</v>
      </c>
      <c r="C79" s="286" t="s">
        <v>119</v>
      </c>
      <c r="D79" s="286" t="s">
        <v>124</v>
      </c>
      <c r="E79" s="292" t="s">
        <v>125</v>
      </c>
      <c r="F79" s="16">
        <v>6662</v>
      </c>
      <c r="G79" s="27" t="s">
        <v>126</v>
      </c>
      <c r="H79" s="16">
        <v>1450</v>
      </c>
      <c r="I79" s="16">
        <f t="shared" ref="I79:I83" si="12">SUM(H79:H79)</f>
        <v>1450</v>
      </c>
      <c r="J79" s="340">
        <v>1450</v>
      </c>
      <c r="K79" s="71"/>
      <c r="L79" s="16" t="s">
        <v>84</v>
      </c>
      <c r="M79" s="114"/>
    </row>
    <row r="80" spans="1:13" x14ac:dyDescent="0.3">
      <c r="A80" s="241"/>
      <c r="B80" s="287"/>
      <c r="C80" s="287"/>
      <c r="D80" s="287"/>
      <c r="E80" s="287"/>
      <c r="F80" s="16"/>
      <c r="G80" s="27"/>
      <c r="H80" s="16"/>
      <c r="I80" s="16">
        <f t="shared" si="12"/>
        <v>0</v>
      </c>
      <c r="J80" s="340"/>
      <c r="K80" s="71"/>
      <c r="L80" s="46" t="s">
        <v>85</v>
      </c>
      <c r="M80" s="114"/>
    </row>
    <row r="81" spans="1:13" x14ac:dyDescent="0.3">
      <c r="A81" s="241"/>
      <c r="B81" s="287"/>
      <c r="C81" s="287"/>
      <c r="D81" s="287"/>
      <c r="E81" s="287"/>
      <c r="F81" s="16"/>
      <c r="G81" s="18"/>
      <c r="H81" s="16"/>
      <c r="I81" s="16">
        <f t="shared" si="12"/>
        <v>0</v>
      </c>
      <c r="J81" s="340"/>
      <c r="K81" s="71"/>
      <c r="L81" s="46" t="s">
        <v>86</v>
      </c>
      <c r="M81" s="114"/>
    </row>
    <row r="82" spans="1:13" x14ac:dyDescent="0.3">
      <c r="A82" s="241"/>
      <c r="B82" s="287"/>
      <c r="C82" s="287"/>
      <c r="D82" s="287"/>
      <c r="E82" s="287"/>
      <c r="F82" s="16"/>
      <c r="G82" s="16"/>
      <c r="H82" s="16"/>
      <c r="I82" s="16">
        <f t="shared" si="12"/>
        <v>0</v>
      </c>
      <c r="J82" s="340"/>
      <c r="K82" s="71"/>
      <c r="L82" s="16"/>
      <c r="M82" s="114"/>
    </row>
    <row r="83" spans="1:13" x14ac:dyDescent="0.3">
      <c r="A83" s="241"/>
      <c r="B83" s="287"/>
      <c r="C83" s="287"/>
      <c r="D83" s="287"/>
      <c r="E83" s="287"/>
      <c r="F83" s="16"/>
      <c r="G83" s="16"/>
      <c r="H83" s="16"/>
      <c r="I83" s="16">
        <f t="shared" si="12"/>
        <v>0</v>
      </c>
      <c r="J83" s="340"/>
      <c r="K83" s="71"/>
      <c r="L83" s="27"/>
      <c r="M83" s="114"/>
    </row>
    <row r="84" spans="1:13" ht="15" thickBot="1" x14ac:dyDescent="0.35">
      <c r="A84" s="242"/>
      <c r="B84" s="288"/>
      <c r="C84" s="288"/>
      <c r="D84" s="288"/>
      <c r="E84" s="288"/>
      <c r="F84" s="350" t="s">
        <v>17</v>
      </c>
      <c r="G84" s="350"/>
      <c r="H84" s="56">
        <f>SUM(H79:H83)</f>
        <v>1450</v>
      </c>
      <c r="I84" s="56">
        <f>SUM(I79:I83)</f>
        <v>1450</v>
      </c>
      <c r="J84" s="56"/>
      <c r="K84" s="79">
        <f>J79-I84</f>
        <v>0</v>
      </c>
      <c r="L84" s="56"/>
      <c r="M84" s="114"/>
    </row>
    <row r="85" spans="1:13" ht="15" thickTop="1" x14ac:dyDescent="0.3">
      <c r="A85" s="340">
        <f t="shared" ref="A85" si="13">1+A79</f>
        <v>14</v>
      </c>
      <c r="B85" s="328" t="s">
        <v>127</v>
      </c>
      <c r="C85" s="286" t="s">
        <v>51</v>
      </c>
      <c r="D85" s="286" t="s">
        <v>124</v>
      </c>
      <c r="E85" s="292" t="s">
        <v>128</v>
      </c>
      <c r="F85" s="16">
        <v>6561</v>
      </c>
      <c r="G85" s="27" t="s">
        <v>129</v>
      </c>
      <c r="H85" s="16">
        <v>1000</v>
      </c>
      <c r="I85" s="16">
        <f t="shared" ref="I85:I89" si="14">SUM(H85:H85)</f>
        <v>1000</v>
      </c>
      <c r="J85" s="340">
        <v>1000</v>
      </c>
      <c r="K85" s="71"/>
      <c r="L85" s="16" t="s">
        <v>130</v>
      </c>
      <c r="M85" s="114"/>
    </row>
    <row r="86" spans="1:13" x14ac:dyDescent="0.3">
      <c r="A86" s="340"/>
      <c r="B86" s="287"/>
      <c r="C86" s="287"/>
      <c r="D86" s="287"/>
      <c r="E86" s="287"/>
      <c r="F86" s="16"/>
      <c r="G86" s="27"/>
      <c r="H86" s="16"/>
      <c r="I86" s="16">
        <f t="shared" si="14"/>
        <v>0</v>
      </c>
      <c r="J86" s="340"/>
      <c r="K86" s="71"/>
      <c r="L86" s="46" t="s">
        <v>85</v>
      </c>
      <c r="M86" s="114"/>
    </row>
    <row r="87" spans="1:13" x14ac:dyDescent="0.3">
      <c r="A87" s="340"/>
      <c r="B87" s="287"/>
      <c r="C87" s="287"/>
      <c r="D87" s="287"/>
      <c r="E87" s="287"/>
      <c r="F87" s="16"/>
      <c r="G87" s="18"/>
      <c r="H87" s="16"/>
      <c r="I87" s="16">
        <f t="shared" si="14"/>
        <v>0</v>
      </c>
      <c r="J87" s="340"/>
      <c r="K87" s="71"/>
      <c r="L87" s="46" t="s">
        <v>86</v>
      </c>
      <c r="M87" s="114"/>
    </row>
    <row r="88" spans="1:13" x14ac:dyDescent="0.3">
      <c r="A88" s="340"/>
      <c r="B88" s="287"/>
      <c r="C88" s="287"/>
      <c r="D88" s="287"/>
      <c r="E88" s="287"/>
      <c r="F88" s="16"/>
      <c r="G88" s="16"/>
      <c r="H88" s="16"/>
      <c r="I88" s="16">
        <f t="shared" si="14"/>
        <v>0</v>
      </c>
      <c r="J88" s="340"/>
      <c r="K88" s="71"/>
      <c r="L88" s="16"/>
      <c r="M88" s="114"/>
    </row>
    <row r="89" spans="1:13" x14ac:dyDescent="0.3">
      <c r="A89" s="340"/>
      <c r="B89" s="287"/>
      <c r="C89" s="287"/>
      <c r="D89" s="287"/>
      <c r="E89" s="287"/>
      <c r="F89" s="16"/>
      <c r="G89" s="16"/>
      <c r="H89" s="16"/>
      <c r="I89" s="16">
        <f t="shared" si="14"/>
        <v>0</v>
      </c>
      <c r="J89" s="340"/>
      <c r="K89" s="71"/>
      <c r="L89" s="27"/>
      <c r="M89" s="114"/>
    </row>
    <row r="90" spans="1:13" ht="15" thickBot="1" x14ac:dyDescent="0.35">
      <c r="A90" s="340"/>
      <c r="B90" s="288"/>
      <c r="C90" s="288"/>
      <c r="D90" s="288"/>
      <c r="E90" s="288"/>
      <c r="F90" s="350" t="s">
        <v>17</v>
      </c>
      <c r="G90" s="350"/>
      <c r="H90" s="56">
        <f>SUM(H85:H89)</f>
        <v>1000</v>
      </c>
      <c r="I90" s="56">
        <f>SUM(I85:I89)</f>
        <v>1000</v>
      </c>
      <c r="J90" s="56"/>
      <c r="K90" s="79">
        <f>J85-I90</f>
        <v>0</v>
      </c>
      <c r="L90" s="56"/>
      <c r="M90" s="114"/>
    </row>
    <row r="91" spans="1:13" ht="16.5" customHeight="1" thickTop="1" x14ac:dyDescent="0.3">
      <c r="A91" s="241">
        <v>15</v>
      </c>
      <c r="B91" s="328" t="s">
        <v>131</v>
      </c>
      <c r="C91" s="286" t="s">
        <v>133</v>
      </c>
      <c r="D91" s="286" t="s">
        <v>124</v>
      </c>
      <c r="E91" s="292" t="s">
        <v>129</v>
      </c>
      <c r="F91" s="16">
        <v>6562</v>
      </c>
      <c r="G91" s="27" t="s">
        <v>129</v>
      </c>
      <c r="H91" s="16">
        <v>100</v>
      </c>
      <c r="I91" s="16">
        <f t="shared" ref="I91:I95" si="15">SUM(H91:H91)</f>
        <v>100</v>
      </c>
      <c r="J91" s="340">
        <v>100</v>
      </c>
      <c r="K91" s="71"/>
      <c r="L91" s="16" t="s">
        <v>134</v>
      </c>
      <c r="M91" s="114"/>
    </row>
    <row r="92" spans="1:13" x14ac:dyDescent="0.3">
      <c r="A92" s="241"/>
      <c r="B92" s="287"/>
      <c r="C92" s="287"/>
      <c r="D92" s="287"/>
      <c r="E92" s="287"/>
      <c r="F92" s="16"/>
      <c r="G92" s="27"/>
      <c r="H92" s="16"/>
      <c r="I92" s="16">
        <f t="shared" si="15"/>
        <v>0</v>
      </c>
      <c r="J92" s="340"/>
      <c r="K92" s="71"/>
      <c r="L92" s="46" t="s">
        <v>85</v>
      </c>
      <c r="M92" s="114"/>
    </row>
    <row r="93" spans="1:13" x14ac:dyDescent="0.3">
      <c r="A93" s="241"/>
      <c r="B93" s="287"/>
      <c r="C93" s="287"/>
      <c r="D93" s="287"/>
      <c r="E93" s="287"/>
      <c r="F93" s="16"/>
      <c r="G93" s="18"/>
      <c r="H93" s="16"/>
      <c r="I93" s="16">
        <f t="shared" si="15"/>
        <v>0</v>
      </c>
      <c r="J93" s="340"/>
      <c r="K93" s="71"/>
      <c r="L93" s="46" t="s">
        <v>86</v>
      </c>
      <c r="M93" s="114"/>
    </row>
    <row r="94" spans="1:13" x14ac:dyDescent="0.3">
      <c r="A94" s="241"/>
      <c r="B94" s="287"/>
      <c r="C94" s="287"/>
      <c r="D94" s="287"/>
      <c r="E94" s="287"/>
      <c r="F94" s="16"/>
      <c r="G94" s="16"/>
      <c r="H94" s="16"/>
      <c r="I94" s="16">
        <f t="shared" si="15"/>
        <v>0</v>
      </c>
      <c r="J94" s="340"/>
      <c r="K94" s="71"/>
      <c r="L94" s="16"/>
      <c r="M94" s="114"/>
    </row>
    <row r="95" spans="1:13" x14ac:dyDescent="0.3">
      <c r="A95" s="241"/>
      <c r="B95" s="287"/>
      <c r="C95" s="287"/>
      <c r="D95" s="287"/>
      <c r="E95" s="287"/>
      <c r="F95" s="16"/>
      <c r="G95" s="16"/>
      <c r="H95" s="16"/>
      <c r="I95" s="16">
        <f t="shared" si="15"/>
        <v>0</v>
      </c>
      <c r="J95" s="340"/>
      <c r="K95" s="71"/>
      <c r="L95" s="27"/>
      <c r="M95" s="114"/>
    </row>
    <row r="96" spans="1:13" ht="15" thickBot="1" x14ac:dyDescent="0.35">
      <c r="A96" s="242"/>
      <c r="B96" s="288"/>
      <c r="C96" s="288"/>
      <c r="D96" s="288"/>
      <c r="E96" s="288"/>
      <c r="F96" s="350" t="s">
        <v>17</v>
      </c>
      <c r="G96" s="350"/>
      <c r="H96" s="56">
        <f>SUM(H91:H95)</f>
        <v>100</v>
      </c>
      <c r="I96" s="56">
        <f>SUM(I91:I95)</f>
        <v>100</v>
      </c>
      <c r="J96" s="56"/>
      <c r="K96" s="79">
        <f>J91-I96</f>
        <v>0</v>
      </c>
      <c r="L96" s="56"/>
      <c r="M96" s="114"/>
    </row>
    <row r="97" spans="1:13" ht="16.5" customHeight="1" thickTop="1" x14ac:dyDescent="0.3">
      <c r="A97" s="340">
        <f t="shared" ref="A97" si="16">1+A91</f>
        <v>16</v>
      </c>
      <c r="B97" s="328" t="s">
        <v>132</v>
      </c>
      <c r="C97" s="286" t="s">
        <v>133</v>
      </c>
      <c r="D97" s="286" t="s">
        <v>124</v>
      </c>
      <c r="E97" s="292" t="s">
        <v>129</v>
      </c>
      <c r="F97" s="16">
        <v>6563</v>
      </c>
      <c r="G97" s="27" t="s">
        <v>129</v>
      </c>
      <c r="H97" s="16">
        <v>100</v>
      </c>
      <c r="I97" s="16">
        <f t="shared" ref="I97:I101" si="17">SUM(H97:H97)</f>
        <v>100</v>
      </c>
      <c r="J97" s="340">
        <v>100</v>
      </c>
      <c r="K97" s="71"/>
      <c r="L97" s="16" t="s">
        <v>134</v>
      </c>
      <c r="M97" s="114"/>
    </row>
    <row r="98" spans="1:13" x14ac:dyDescent="0.3">
      <c r="A98" s="340"/>
      <c r="B98" s="287"/>
      <c r="C98" s="287"/>
      <c r="D98" s="287"/>
      <c r="E98" s="287"/>
      <c r="F98" s="16"/>
      <c r="G98" s="27"/>
      <c r="H98" s="16"/>
      <c r="I98" s="16">
        <f t="shared" si="17"/>
        <v>0</v>
      </c>
      <c r="J98" s="340"/>
      <c r="K98" s="71"/>
      <c r="L98" s="46" t="s">
        <v>85</v>
      </c>
      <c r="M98" s="114"/>
    </row>
    <row r="99" spans="1:13" x14ac:dyDescent="0.3">
      <c r="A99" s="340"/>
      <c r="B99" s="287"/>
      <c r="C99" s="287"/>
      <c r="D99" s="287"/>
      <c r="E99" s="287"/>
      <c r="F99" s="16"/>
      <c r="G99" s="18"/>
      <c r="H99" s="16"/>
      <c r="I99" s="16">
        <f t="shared" si="17"/>
        <v>0</v>
      </c>
      <c r="J99" s="340"/>
      <c r="K99" s="71"/>
      <c r="L99" s="46" t="s">
        <v>86</v>
      </c>
      <c r="M99" s="114"/>
    </row>
    <row r="100" spans="1:13" x14ac:dyDescent="0.3">
      <c r="A100" s="340"/>
      <c r="B100" s="287"/>
      <c r="C100" s="287"/>
      <c r="D100" s="287"/>
      <c r="E100" s="287"/>
      <c r="F100" s="16"/>
      <c r="G100" s="16"/>
      <c r="H100" s="16"/>
      <c r="I100" s="16">
        <f t="shared" si="17"/>
        <v>0</v>
      </c>
      <c r="J100" s="340"/>
      <c r="K100" s="71"/>
      <c r="L100" s="16"/>
      <c r="M100" s="114"/>
    </row>
    <row r="101" spans="1:13" x14ac:dyDescent="0.3">
      <c r="A101" s="340"/>
      <c r="B101" s="287"/>
      <c r="C101" s="287"/>
      <c r="D101" s="287"/>
      <c r="E101" s="287"/>
      <c r="F101" s="16"/>
      <c r="G101" s="16"/>
      <c r="H101" s="16"/>
      <c r="I101" s="16">
        <f t="shared" si="17"/>
        <v>0</v>
      </c>
      <c r="J101" s="340"/>
      <c r="K101" s="71"/>
      <c r="L101" s="27"/>
      <c r="M101" s="114"/>
    </row>
    <row r="102" spans="1:13" ht="15" thickBot="1" x14ac:dyDescent="0.35">
      <c r="A102" s="340"/>
      <c r="B102" s="288"/>
      <c r="C102" s="288"/>
      <c r="D102" s="288"/>
      <c r="E102" s="288"/>
      <c r="F102" s="350" t="s">
        <v>17</v>
      </c>
      <c r="G102" s="350"/>
      <c r="H102" s="56">
        <f>SUM(H97:H101)</f>
        <v>100</v>
      </c>
      <c r="I102" s="56">
        <f>SUM(I97:I101)</f>
        <v>100</v>
      </c>
      <c r="J102" s="56"/>
      <c r="K102" s="79">
        <f>J97-I102</f>
        <v>0</v>
      </c>
      <c r="L102" s="56"/>
      <c r="M102" s="114"/>
    </row>
    <row r="103" spans="1:13" ht="16.5" customHeight="1" thickTop="1" x14ac:dyDescent="0.3">
      <c r="A103" s="241">
        <v>17</v>
      </c>
      <c r="B103" s="328" t="s">
        <v>135</v>
      </c>
      <c r="C103" s="286" t="s">
        <v>136</v>
      </c>
      <c r="D103" s="286" t="s">
        <v>124</v>
      </c>
      <c r="E103" s="286" t="s">
        <v>137</v>
      </c>
      <c r="F103" s="16">
        <v>6564</v>
      </c>
      <c r="G103" s="27" t="s">
        <v>129</v>
      </c>
      <c r="H103" s="16">
        <v>200</v>
      </c>
      <c r="I103" s="16">
        <f t="shared" ref="I103:I107" si="18">SUM(H103:H103)</f>
        <v>200</v>
      </c>
      <c r="J103" s="340">
        <v>200</v>
      </c>
      <c r="K103" s="71"/>
      <c r="L103" s="16" t="s">
        <v>138</v>
      </c>
      <c r="M103" s="114"/>
    </row>
    <row r="104" spans="1:13" x14ac:dyDescent="0.3">
      <c r="A104" s="241"/>
      <c r="B104" s="287"/>
      <c r="C104" s="287"/>
      <c r="D104" s="287"/>
      <c r="E104" s="287"/>
      <c r="F104" s="16"/>
      <c r="G104" s="27"/>
      <c r="H104" s="16"/>
      <c r="I104" s="16">
        <f t="shared" si="18"/>
        <v>0</v>
      </c>
      <c r="J104" s="340"/>
      <c r="K104" s="71"/>
      <c r="L104" s="46" t="s">
        <v>85</v>
      </c>
      <c r="M104" s="114"/>
    </row>
    <row r="105" spans="1:13" x14ac:dyDescent="0.3">
      <c r="A105" s="241"/>
      <c r="B105" s="287"/>
      <c r="C105" s="287"/>
      <c r="D105" s="287"/>
      <c r="E105" s="287"/>
      <c r="F105" s="16"/>
      <c r="G105" s="18"/>
      <c r="H105" s="16"/>
      <c r="I105" s="16">
        <f t="shared" si="18"/>
        <v>0</v>
      </c>
      <c r="J105" s="340"/>
      <c r="K105" s="71"/>
      <c r="L105" s="46" t="s">
        <v>86</v>
      </c>
      <c r="M105" s="114"/>
    </row>
    <row r="106" spans="1:13" x14ac:dyDescent="0.3">
      <c r="A106" s="241"/>
      <c r="B106" s="287"/>
      <c r="C106" s="287"/>
      <c r="D106" s="287"/>
      <c r="E106" s="287"/>
      <c r="F106" s="16"/>
      <c r="G106" s="16"/>
      <c r="H106" s="16"/>
      <c r="I106" s="16">
        <f t="shared" si="18"/>
        <v>0</v>
      </c>
      <c r="J106" s="340"/>
      <c r="K106" s="71"/>
      <c r="L106" s="16"/>
      <c r="M106" s="114"/>
    </row>
    <row r="107" spans="1:13" x14ac:dyDescent="0.3">
      <c r="A107" s="241"/>
      <c r="B107" s="287"/>
      <c r="C107" s="287"/>
      <c r="D107" s="287"/>
      <c r="E107" s="287"/>
      <c r="F107" s="16"/>
      <c r="G107" s="16"/>
      <c r="H107" s="16"/>
      <c r="I107" s="16">
        <f t="shared" si="18"/>
        <v>0</v>
      </c>
      <c r="J107" s="340"/>
      <c r="K107" s="71"/>
      <c r="L107" s="27"/>
      <c r="M107" s="114"/>
    </row>
    <row r="108" spans="1:13" ht="15" thickBot="1" x14ac:dyDescent="0.35">
      <c r="A108" s="242"/>
      <c r="B108" s="288"/>
      <c r="C108" s="288"/>
      <c r="D108" s="288"/>
      <c r="E108" s="288"/>
      <c r="F108" s="350" t="s">
        <v>17</v>
      </c>
      <c r="G108" s="350"/>
      <c r="H108" s="56">
        <f>SUM(H103:H107)</f>
        <v>200</v>
      </c>
      <c r="I108" s="56">
        <f>SUM(I103:I107)</f>
        <v>200</v>
      </c>
      <c r="J108" s="56"/>
      <c r="K108" s="79">
        <f>J103-I108</f>
        <v>0</v>
      </c>
      <c r="L108" s="56"/>
      <c r="M108" s="114"/>
    </row>
    <row r="109" spans="1:13" ht="15" thickTop="1" x14ac:dyDescent="0.3">
      <c r="A109" s="340">
        <f t="shared" ref="A109" si="19">1+A103</f>
        <v>18</v>
      </c>
      <c r="B109" s="328" t="s">
        <v>139</v>
      </c>
      <c r="C109" s="286" t="s">
        <v>51</v>
      </c>
      <c r="D109" s="286" t="s">
        <v>124</v>
      </c>
      <c r="E109" s="292" t="s">
        <v>140</v>
      </c>
      <c r="F109" s="16">
        <v>6565</v>
      </c>
      <c r="G109" s="27" t="s">
        <v>129</v>
      </c>
      <c r="H109" s="16">
        <v>100</v>
      </c>
      <c r="I109" s="16">
        <f t="shared" ref="I109:I113" si="20">SUM(H109:H109)</f>
        <v>100</v>
      </c>
      <c r="J109" s="340">
        <v>100</v>
      </c>
      <c r="K109" s="71"/>
      <c r="L109" s="16" t="s">
        <v>134</v>
      </c>
      <c r="M109" s="114"/>
    </row>
    <row r="110" spans="1:13" x14ac:dyDescent="0.3">
      <c r="A110" s="340"/>
      <c r="B110" s="287"/>
      <c r="C110" s="287"/>
      <c r="D110" s="287"/>
      <c r="E110" s="287"/>
      <c r="F110" s="16"/>
      <c r="G110" s="27"/>
      <c r="H110" s="16"/>
      <c r="I110" s="16">
        <f t="shared" si="20"/>
        <v>0</v>
      </c>
      <c r="J110" s="340"/>
      <c r="K110" s="71"/>
      <c r="L110" s="46" t="s">
        <v>85</v>
      </c>
      <c r="M110" s="114"/>
    </row>
    <row r="111" spans="1:13" x14ac:dyDescent="0.3">
      <c r="A111" s="340"/>
      <c r="B111" s="287"/>
      <c r="C111" s="287"/>
      <c r="D111" s="287"/>
      <c r="E111" s="287"/>
      <c r="F111" s="16"/>
      <c r="G111" s="18"/>
      <c r="H111" s="16"/>
      <c r="I111" s="16">
        <f t="shared" si="20"/>
        <v>0</v>
      </c>
      <c r="J111" s="340"/>
      <c r="K111" s="71"/>
      <c r="L111" s="46" t="s">
        <v>86</v>
      </c>
      <c r="M111" s="114"/>
    </row>
    <row r="112" spans="1:13" x14ac:dyDescent="0.3">
      <c r="A112" s="340"/>
      <c r="B112" s="287"/>
      <c r="C112" s="287"/>
      <c r="D112" s="287"/>
      <c r="E112" s="287"/>
      <c r="F112" s="16"/>
      <c r="G112" s="16"/>
      <c r="H112" s="16"/>
      <c r="I112" s="16">
        <f t="shared" si="20"/>
        <v>0</v>
      </c>
      <c r="J112" s="340"/>
      <c r="K112" s="71"/>
      <c r="L112" s="16"/>
      <c r="M112" s="114"/>
    </row>
    <row r="113" spans="1:13" x14ac:dyDescent="0.3">
      <c r="A113" s="340"/>
      <c r="B113" s="287"/>
      <c r="C113" s="287"/>
      <c r="D113" s="287"/>
      <c r="E113" s="287"/>
      <c r="F113" s="16"/>
      <c r="G113" s="16"/>
      <c r="H113" s="16"/>
      <c r="I113" s="16">
        <f t="shared" si="20"/>
        <v>0</v>
      </c>
      <c r="J113" s="340"/>
      <c r="K113" s="71"/>
      <c r="L113" s="27"/>
      <c r="M113" s="114"/>
    </row>
    <row r="114" spans="1:13" ht="15" thickBot="1" x14ac:dyDescent="0.35">
      <c r="A114" s="340"/>
      <c r="B114" s="288"/>
      <c r="C114" s="288"/>
      <c r="D114" s="288"/>
      <c r="E114" s="288"/>
      <c r="F114" s="350" t="s">
        <v>17</v>
      </c>
      <c r="G114" s="350"/>
      <c r="H114" s="56">
        <f>SUM(H109:H113)</f>
        <v>100</v>
      </c>
      <c r="I114" s="56">
        <f>SUM(I109:I113)</f>
        <v>100</v>
      </c>
      <c r="J114" s="56"/>
      <c r="K114" s="79">
        <f>J109-I114</f>
        <v>0</v>
      </c>
      <c r="L114" s="56"/>
      <c r="M114" s="114"/>
    </row>
    <row r="115" spans="1:13" ht="15" thickTop="1" x14ac:dyDescent="0.3">
      <c r="A115" s="241">
        <v>19</v>
      </c>
      <c r="B115" s="328" t="s">
        <v>144</v>
      </c>
      <c r="C115" s="286" t="s">
        <v>141</v>
      </c>
      <c r="D115" s="286" t="s">
        <v>142</v>
      </c>
      <c r="E115" s="292" t="s">
        <v>143</v>
      </c>
      <c r="F115" s="16">
        <v>6665</v>
      </c>
      <c r="G115" s="27" t="s">
        <v>129</v>
      </c>
      <c r="H115" s="16">
        <v>1450</v>
      </c>
      <c r="I115" s="16">
        <f t="shared" ref="I115:I119" si="21">SUM(H115:H115)</f>
        <v>1450</v>
      </c>
      <c r="J115" s="340">
        <v>1450</v>
      </c>
      <c r="K115" s="71"/>
      <c r="L115" s="16" t="s">
        <v>84</v>
      </c>
      <c r="M115" s="114"/>
    </row>
    <row r="116" spans="1:13" x14ac:dyDescent="0.3">
      <c r="A116" s="241"/>
      <c r="B116" s="287"/>
      <c r="C116" s="287"/>
      <c r="D116" s="287"/>
      <c r="E116" s="287"/>
      <c r="F116" s="16"/>
      <c r="G116" s="27"/>
      <c r="H116" s="16"/>
      <c r="I116" s="16">
        <f t="shared" si="21"/>
        <v>0</v>
      </c>
      <c r="J116" s="340"/>
      <c r="K116" s="71"/>
      <c r="L116" s="46" t="s">
        <v>85</v>
      </c>
      <c r="M116" s="114"/>
    </row>
    <row r="117" spans="1:13" x14ac:dyDescent="0.3">
      <c r="A117" s="241"/>
      <c r="B117" s="287"/>
      <c r="C117" s="287"/>
      <c r="D117" s="287"/>
      <c r="E117" s="287"/>
      <c r="F117" s="16"/>
      <c r="G117" s="18"/>
      <c r="H117" s="16"/>
      <c r="I117" s="16">
        <f t="shared" si="21"/>
        <v>0</v>
      </c>
      <c r="J117" s="340"/>
      <c r="K117" s="71"/>
      <c r="L117" s="46" t="s">
        <v>86</v>
      </c>
      <c r="M117" s="114"/>
    </row>
    <row r="118" spans="1:13" x14ac:dyDescent="0.3">
      <c r="A118" s="241"/>
      <c r="B118" s="287"/>
      <c r="C118" s="287"/>
      <c r="D118" s="287"/>
      <c r="E118" s="287"/>
      <c r="F118" s="16"/>
      <c r="G118" s="16"/>
      <c r="H118" s="16"/>
      <c r="I118" s="16">
        <f t="shared" si="21"/>
        <v>0</v>
      </c>
      <c r="J118" s="340"/>
      <c r="K118" s="71"/>
      <c r="L118" s="16"/>
      <c r="M118" s="114"/>
    </row>
    <row r="119" spans="1:13" x14ac:dyDescent="0.3">
      <c r="A119" s="241"/>
      <c r="B119" s="287"/>
      <c r="C119" s="287"/>
      <c r="D119" s="287"/>
      <c r="E119" s="287"/>
      <c r="F119" s="16"/>
      <c r="G119" s="16"/>
      <c r="H119" s="16"/>
      <c r="I119" s="16">
        <f t="shared" si="21"/>
        <v>0</v>
      </c>
      <c r="J119" s="340"/>
      <c r="K119" s="71"/>
      <c r="L119" s="27"/>
      <c r="M119" s="114"/>
    </row>
    <row r="120" spans="1:13" ht="15" thickBot="1" x14ac:dyDescent="0.35">
      <c r="A120" s="242"/>
      <c r="B120" s="288"/>
      <c r="C120" s="288"/>
      <c r="D120" s="288"/>
      <c r="E120" s="288"/>
      <c r="F120" s="350" t="s">
        <v>17</v>
      </c>
      <c r="G120" s="350"/>
      <c r="H120" s="56">
        <f>SUM(H115:H119)</f>
        <v>1450</v>
      </c>
      <c r="I120" s="56">
        <f>SUM(I115:I119)</f>
        <v>1450</v>
      </c>
      <c r="J120" s="56"/>
      <c r="K120" s="79">
        <f>J115-I120</f>
        <v>0</v>
      </c>
      <c r="L120" s="56"/>
      <c r="M120" s="114"/>
    </row>
    <row r="121" spans="1:13" ht="16.5" customHeight="1" thickTop="1" x14ac:dyDescent="0.3">
      <c r="A121" s="340">
        <f t="shared" ref="A121" si="22">1+A115</f>
        <v>20</v>
      </c>
      <c r="B121" s="328" t="s">
        <v>145</v>
      </c>
      <c r="C121" s="286" t="s">
        <v>51</v>
      </c>
      <c r="D121" s="286" t="s">
        <v>124</v>
      </c>
      <c r="E121" s="292" t="s">
        <v>129</v>
      </c>
      <c r="F121" s="16">
        <v>6566</v>
      </c>
      <c r="G121" s="27" t="s">
        <v>129</v>
      </c>
      <c r="H121" s="16">
        <v>100</v>
      </c>
      <c r="I121" s="16">
        <f t="shared" ref="I121:I125" si="23">SUM(H121:H121)</f>
        <v>100</v>
      </c>
      <c r="J121" s="340">
        <v>100</v>
      </c>
      <c r="K121" s="71"/>
      <c r="L121" s="16" t="s">
        <v>134</v>
      </c>
      <c r="M121" s="114"/>
    </row>
    <row r="122" spans="1:13" x14ac:dyDescent="0.3">
      <c r="A122" s="340"/>
      <c r="B122" s="287"/>
      <c r="C122" s="287"/>
      <c r="D122" s="287"/>
      <c r="E122" s="287"/>
      <c r="F122" s="16"/>
      <c r="G122" s="27"/>
      <c r="H122" s="16"/>
      <c r="I122" s="16">
        <f t="shared" si="23"/>
        <v>0</v>
      </c>
      <c r="J122" s="340"/>
      <c r="K122" s="71"/>
      <c r="L122" s="46" t="s">
        <v>85</v>
      </c>
      <c r="M122" s="114"/>
    </row>
    <row r="123" spans="1:13" x14ac:dyDescent="0.3">
      <c r="A123" s="340"/>
      <c r="B123" s="287"/>
      <c r="C123" s="287"/>
      <c r="D123" s="287"/>
      <c r="E123" s="287"/>
      <c r="F123" s="16"/>
      <c r="G123" s="18"/>
      <c r="H123" s="16"/>
      <c r="I123" s="16">
        <f t="shared" si="23"/>
        <v>0</v>
      </c>
      <c r="J123" s="340"/>
      <c r="K123" s="71"/>
      <c r="L123" s="46" t="s">
        <v>86</v>
      </c>
      <c r="M123" s="114"/>
    </row>
    <row r="124" spans="1:13" x14ac:dyDescent="0.3">
      <c r="A124" s="340"/>
      <c r="B124" s="287"/>
      <c r="C124" s="287"/>
      <c r="D124" s="287"/>
      <c r="E124" s="287"/>
      <c r="F124" s="16"/>
      <c r="G124" s="16"/>
      <c r="H124" s="16"/>
      <c r="I124" s="16">
        <f t="shared" si="23"/>
        <v>0</v>
      </c>
      <c r="J124" s="340"/>
      <c r="K124" s="71"/>
      <c r="L124" s="16"/>
      <c r="M124" s="114"/>
    </row>
    <row r="125" spans="1:13" x14ac:dyDescent="0.3">
      <c r="A125" s="340"/>
      <c r="B125" s="287"/>
      <c r="C125" s="287"/>
      <c r="D125" s="287"/>
      <c r="E125" s="287"/>
      <c r="F125" s="16"/>
      <c r="G125" s="16"/>
      <c r="H125" s="16"/>
      <c r="I125" s="16">
        <f t="shared" si="23"/>
        <v>0</v>
      </c>
      <c r="J125" s="340"/>
      <c r="K125" s="71"/>
      <c r="L125" s="27"/>
      <c r="M125" s="114"/>
    </row>
    <row r="126" spans="1:13" ht="15" thickBot="1" x14ac:dyDescent="0.35">
      <c r="A126" s="340"/>
      <c r="B126" s="288"/>
      <c r="C126" s="288"/>
      <c r="D126" s="288"/>
      <c r="E126" s="288"/>
      <c r="F126" s="350" t="s">
        <v>17</v>
      </c>
      <c r="G126" s="350"/>
      <c r="H126" s="56">
        <f>SUM(H121:H125)</f>
        <v>100</v>
      </c>
      <c r="I126" s="56">
        <f>SUM(I121:I125)</f>
        <v>100</v>
      </c>
      <c r="J126" s="56"/>
      <c r="K126" s="79">
        <f>J121-I126</f>
        <v>0</v>
      </c>
      <c r="L126" s="56"/>
      <c r="M126" s="114"/>
    </row>
    <row r="127" spans="1:13" ht="16.5" customHeight="1" thickTop="1" x14ac:dyDescent="0.3">
      <c r="A127" s="241">
        <v>21</v>
      </c>
      <c r="B127" s="328" t="s">
        <v>146</v>
      </c>
      <c r="C127" s="286" t="s">
        <v>147</v>
      </c>
      <c r="D127" s="286" t="s">
        <v>124</v>
      </c>
      <c r="E127" s="292" t="s">
        <v>148</v>
      </c>
      <c r="F127" s="16">
        <v>6567</v>
      </c>
      <c r="G127" s="27" t="s">
        <v>129</v>
      </c>
      <c r="H127" s="16">
        <v>800</v>
      </c>
      <c r="I127" s="16">
        <f t="shared" ref="I127:I131" si="24">SUM(H127:H127)</f>
        <v>800</v>
      </c>
      <c r="J127" s="340">
        <v>800</v>
      </c>
      <c r="K127" s="71"/>
      <c r="L127" s="16" t="s">
        <v>149</v>
      </c>
      <c r="M127" s="114"/>
    </row>
    <row r="128" spans="1:13" x14ac:dyDescent="0.3">
      <c r="A128" s="241"/>
      <c r="B128" s="287"/>
      <c r="C128" s="287"/>
      <c r="D128" s="287"/>
      <c r="E128" s="287"/>
      <c r="F128" s="16"/>
      <c r="G128" s="27"/>
      <c r="H128" s="16"/>
      <c r="I128" s="16">
        <f t="shared" si="24"/>
        <v>0</v>
      </c>
      <c r="J128" s="340"/>
      <c r="K128" s="71"/>
      <c r="L128" s="46" t="s">
        <v>85</v>
      </c>
      <c r="M128" s="114"/>
    </row>
    <row r="129" spans="1:13" x14ac:dyDescent="0.3">
      <c r="A129" s="241"/>
      <c r="B129" s="287"/>
      <c r="C129" s="287"/>
      <c r="D129" s="287"/>
      <c r="E129" s="287"/>
      <c r="F129" s="16"/>
      <c r="G129" s="18"/>
      <c r="H129" s="16"/>
      <c r="I129" s="16">
        <f t="shared" si="24"/>
        <v>0</v>
      </c>
      <c r="J129" s="340"/>
      <c r="K129" s="71"/>
      <c r="L129" s="46" t="s">
        <v>86</v>
      </c>
      <c r="M129" s="114"/>
    </row>
    <row r="130" spans="1:13" x14ac:dyDescent="0.3">
      <c r="A130" s="241"/>
      <c r="B130" s="287"/>
      <c r="C130" s="287"/>
      <c r="D130" s="287"/>
      <c r="E130" s="287"/>
      <c r="F130" s="16"/>
      <c r="G130" s="16"/>
      <c r="H130" s="16"/>
      <c r="I130" s="16">
        <f t="shared" si="24"/>
        <v>0</v>
      </c>
      <c r="J130" s="340"/>
      <c r="K130" s="71"/>
      <c r="L130" s="16"/>
      <c r="M130" s="114"/>
    </row>
    <row r="131" spans="1:13" x14ac:dyDescent="0.3">
      <c r="A131" s="241"/>
      <c r="B131" s="287"/>
      <c r="C131" s="287"/>
      <c r="D131" s="287"/>
      <c r="E131" s="287"/>
      <c r="F131" s="16"/>
      <c r="G131" s="16"/>
      <c r="H131" s="16"/>
      <c r="I131" s="16">
        <f t="shared" si="24"/>
        <v>0</v>
      </c>
      <c r="J131" s="340"/>
      <c r="K131" s="71"/>
      <c r="L131" s="27"/>
      <c r="M131" s="114"/>
    </row>
    <row r="132" spans="1:13" ht="15" thickBot="1" x14ac:dyDescent="0.35">
      <c r="A132" s="242"/>
      <c r="B132" s="288"/>
      <c r="C132" s="288"/>
      <c r="D132" s="288"/>
      <c r="E132" s="288"/>
      <c r="F132" s="350" t="s">
        <v>17</v>
      </c>
      <c r="G132" s="350"/>
      <c r="H132" s="56">
        <f>SUM(H127:H131)</f>
        <v>800</v>
      </c>
      <c r="I132" s="56">
        <f>SUM(I127:I131)</f>
        <v>800</v>
      </c>
      <c r="J132" s="56"/>
      <c r="K132" s="79">
        <f>J127-I132</f>
        <v>0</v>
      </c>
      <c r="L132" s="56"/>
      <c r="M132" s="114"/>
    </row>
    <row r="133" spans="1:13" ht="15" thickTop="1" x14ac:dyDescent="0.3">
      <c r="A133" s="340">
        <f t="shared" ref="A133" si="25">1+A127</f>
        <v>22</v>
      </c>
      <c r="B133" s="328" t="s">
        <v>150</v>
      </c>
      <c r="C133" s="286" t="s">
        <v>51</v>
      </c>
      <c r="D133" s="286" t="s">
        <v>124</v>
      </c>
      <c r="E133" s="292" t="s">
        <v>129</v>
      </c>
      <c r="F133" s="16">
        <v>6568</v>
      </c>
      <c r="G133" s="27" t="s">
        <v>129</v>
      </c>
      <c r="H133" s="16">
        <v>100</v>
      </c>
      <c r="I133" s="16">
        <f t="shared" ref="I133:I137" si="26">SUM(H133:H133)</f>
        <v>100</v>
      </c>
      <c r="J133" s="340">
        <v>100</v>
      </c>
      <c r="K133" s="71"/>
      <c r="L133" s="16" t="s">
        <v>134</v>
      </c>
      <c r="M133" s="114"/>
    </row>
    <row r="134" spans="1:13" x14ac:dyDescent="0.3">
      <c r="A134" s="340"/>
      <c r="B134" s="287"/>
      <c r="C134" s="287"/>
      <c r="D134" s="287"/>
      <c r="E134" s="287"/>
      <c r="F134" s="16"/>
      <c r="G134" s="27"/>
      <c r="H134" s="16"/>
      <c r="I134" s="16">
        <f t="shared" si="26"/>
        <v>0</v>
      </c>
      <c r="J134" s="340"/>
      <c r="K134" s="71"/>
      <c r="L134" s="46" t="s">
        <v>85</v>
      </c>
      <c r="M134" s="114"/>
    </row>
    <row r="135" spans="1:13" x14ac:dyDescent="0.3">
      <c r="A135" s="340"/>
      <c r="B135" s="287"/>
      <c r="C135" s="287"/>
      <c r="D135" s="287"/>
      <c r="E135" s="287"/>
      <c r="F135" s="16"/>
      <c r="G135" s="18"/>
      <c r="H135" s="16"/>
      <c r="I135" s="16">
        <f t="shared" si="26"/>
        <v>0</v>
      </c>
      <c r="J135" s="340"/>
      <c r="K135" s="71"/>
      <c r="L135" s="46" t="s">
        <v>86</v>
      </c>
      <c r="M135" s="114"/>
    </row>
    <row r="136" spans="1:13" x14ac:dyDescent="0.3">
      <c r="A136" s="340"/>
      <c r="B136" s="287"/>
      <c r="C136" s="287"/>
      <c r="D136" s="287"/>
      <c r="E136" s="287"/>
      <c r="F136" s="16"/>
      <c r="G136" s="16"/>
      <c r="H136" s="16"/>
      <c r="I136" s="16">
        <f t="shared" si="26"/>
        <v>0</v>
      </c>
      <c r="J136" s="340"/>
      <c r="K136" s="71"/>
      <c r="L136" s="16"/>
      <c r="M136" s="114"/>
    </row>
    <row r="137" spans="1:13" x14ac:dyDescent="0.3">
      <c r="A137" s="340"/>
      <c r="B137" s="287"/>
      <c r="C137" s="287"/>
      <c r="D137" s="287"/>
      <c r="E137" s="287"/>
      <c r="F137" s="16"/>
      <c r="G137" s="16"/>
      <c r="H137" s="16"/>
      <c r="I137" s="16">
        <f t="shared" si="26"/>
        <v>0</v>
      </c>
      <c r="J137" s="340"/>
      <c r="K137" s="71"/>
      <c r="L137" s="27"/>
      <c r="M137" s="114"/>
    </row>
    <row r="138" spans="1:13" ht="15" thickBot="1" x14ac:dyDescent="0.35">
      <c r="A138" s="340"/>
      <c r="B138" s="288"/>
      <c r="C138" s="288"/>
      <c r="D138" s="288"/>
      <c r="E138" s="288"/>
      <c r="F138" s="350" t="s">
        <v>17</v>
      </c>
      <c r="G138" s="350"/>
      <c r="H138" s="56">
        <f>SUM(H133:H137)</f>
        <v>100</v>
      </c>
      <c r="I138" s="56">
        <f>SUM(I133:I137)</f>
        <v>100</v>
      </c>
      <c r="J138" s="56"/>
      <c r="K138" s="79">
        <f>J133-I138</f>
        <v>0</v>
      </c>
      <c r="L138" s="56"/>
      <c r="M138" s="114"/>
    </row>
    <row r="139" spans="1:13" ht="15" thickTop="1" x14ac:dyDescent="0.3">
      <c r="A139" s="241">
        <v>23</v>
      </c>
      <c r="B139" s="328" t="s">
        <v>151</v>
      </c>
      <c r="C139" s="286" t="s">
        <v>51</v>
      </c>
      <c r="D139" s="286" t="s">
        <v>124</v>
      </c>
      <c r="E139" s="292" t="s">
        <v>140</v>
      </c>
      <c r="F139" s="16">
        <v>6569</v>
      </c>
      <c r="G139" s="27" t="s">
        <v>129</v>
      </c>
      <c r="H139" s="16">
        <v>200</v>
      </c>
      <c r="I139" s="16">
        <f t="shared" ref="I139:I143" si="27">SUM(H139:H139)</f>
        <v>200</v>
      </c>
      <c r="J139" s="340">
        <v>200</v>
      </c>
      <c r="K139" s="71"/>
      <c r="L139" s="16" t="s">
        <v>138</v>
      </c>
      <c r="M139" s="114"/>
    </row>
    <row r="140" spans="1:13" x14ac:dyDescent="0.3">
      <c r="A140" s="241"/>
      <c r="B140" s="287"/>
      <c r="C140" s="287"/>
      <c r="D140" s="287"/>
      <c r="E140" s="287"/>
      <c r="F140" s="16"/>
      <c r="G140" s="27"/>
      <c r="H140" s="16"/>
      <c r="I140" s="16">
        <f t="shared" si="27"/>
        <v>0</v>
      </c>
      <c r="J140" s="340"/>
      <c r="K140" s="71"/>
      <c r="L140" s="46" t="s">
        <v>85</v>
      </c>
      <c r="M140" s="114"/>
    </row>
    <row r="141" spans="1:13" x14ac:dyDescent="0.3">
      <c r="A141" s="241"/>
      <c r="B141" s="287"/>
      <c r="C141" s="287"/>
      <c r="D141" s="287"/>
      <c r="E141" s="287"/>
      <c r="F141" s="16"/>
      <c r="G141" s="18"/>
      <c r="H141" s="16"/>
      <c r="I141" s="16">
        <f t="shared" si="27"/>
        <v>0</v>
      </c>
      <c r="J141" s="340"/>
      <c r="K141" s="71"/>
      <c r="L141" s="46" t="s">
        <v>86</v>
      </c>
      <c r="M141" s="114"/>
    </row>
    <row r="142" spans="1:13" x14ac:dyDescent="0.3">
      <c r="A142" s="241"/>
      <c r="B142" s="287"/>
      <c r="C142" s="287"/>
      <c r="D142" s="287"/>
      <c r="E142" s="287"/>
      <c r="F142" s="16"/>
      <c r="G142" s="16"/>
      <c r="H142" s="16"/>
      <c r="I142" s="16">
        <f t="shared" si="27"/>
        <v>0</v>
      </c>
      <c r="J142" s="340"/>
      <c r="K142" s="71"/>
      <c r="L142" s="16"/>
      <c r="M142" s="114"/>
    </row>
    <row r="143" spans="1:13" x14ac:dyDescent="0.3">
      <c r="A143" s="241"/>
      <c r="B143" s="287"/>
      <c r="C143" s="287"/>
      <c r="D143" s="287"/>
      <c r="E143" s="287"/>
      <c r="F143" s="16"/>
      <c r="G143" s="16"/>
      <c r="H143" s="16"/>
      <c r="I143" s="16">
        <f t="shared" si="27"/>
        <v>0</v>
      </c>
      <c r="J143" s="340"/>
      <c r="K143" s="71"/>
      <c r="L143" s="27"/>
      <c r="M143" s="114"/>
    </row>
    <row r="144" spans="1:13" ht="15" thickBot="1" x14ac:dyDescent="0.35">
      <c r="A144" s="242"/>
      <c r="B144" s="288"/>
      <c r="C144" s="288"/>
      <c r="D144" s="288"/>
      <c r="E144" s="288"/>
      <c r="F144" s="350" t="s">
        <v>17</v>
      </c>
      <c r="G144" s="350"/>
      <c r="H144" s="56">
        <f>SUM(H139:H143)</f>
        <v>200</v>
      </c>
      <c r="I144" s="56">
        <f>SUM(I139:I143)</f>
        <v>200</v>
      </c>
      <c r="J144" s="56"/>
      <c r="K144" s="79">
        <f>J139-I144</f>
        <v>0</v>
      </c>
      <c r="L144" s="56"/>
      <c r="M144" s="114"/>
    </row>
    <row r="145" spans="1:13" ht="15" thickTop="1" x14ac:dyDescent="0.3">
      <c r="A145" s="340">
        <f t="shared" ref="A145" si="28">1+A139</f>
        <v>24</v>
      </c>
      <c r="B145" s="328" t="s">
        <v>152</v>
      </c>
      <c r="C145" s="286" t="s">
        <v>153</v>
      </c>
      <c r="D145" s="286" t="s">
        <v>124</v>
      </c>
      <c r="E145" s="292" t="s">
        <v>154</v>
      </c>
      <c r="F145" s="16">
        <v>6570</v>
      </c>
      <c r="G145" s="27" t="s">
        <v>129</v>
      </c>
      <c r="H145" s="16">
        <v>200</v>
      </c>
      <c r="I145" s="16">
        <f t="shared" ref="I145:I149" si="29">SUM(H145:H145)</f>
        <v>200</v>
      </c>
      <c r="J145" s="340">
        <v>200</v>
      </c>
      <c r="K145" s="71"/>
      <c r="L145" s="16" t="s">
        <v>138</v>
      </c>
      <c r="M145" s="114"/>
    </row>
    <row r="146" spans="1:13" x14ac:dyDescent="0.3">
      <c r="A146" s="340"/>
      <c r="B146" s="287"/>
      <c r="C146" s="287"/>
      <c r="D146" s="287"/>
      <c r="E146" s="287"/>
      <c r="F146" s="16"/>
      <c r="G146" s="27"/>
      <c r="H146" s="16"/>
      <c r="I146" s="16">
        <f t="shared" si="29"/>
        <v>0</v>
      </c>
      <c r="J146" s="340"/>
      <c r="K146" s="71"/>
      <c r="L146" s="46" t="s">
        <v>85</v>
      </c>
      <c r="M146" s="114"/>
    </row>
    <row r="147" spans="1:13" x14ac:dyDescent="0.3">
      <c r="A147" s="340"/>
      <c r="B147" s="287"/>
      <c r="C147" s="287"/>
      <c r="D147" s="287"/>
      <c r="E147" s="287"/>
      <c r="F147" s="16"/>
      <c r="G147" s="18"/>
      <c r="H147" s="16"/>
      <c r="I147" s="16">
        <f t="shared" si="29"/>
        <v>0</v>
      </c>
      <c r="J147" s="340"/>
      <c r="K147" s="71"/>
      <c r="L147" s="46" t="s">
        <v>86</v>
      </c>
      <c r="M147" s="114"/>
    </row>
    <row r="148" spans="1:13" x14ac:dyDescent="0.3">
      <c r="A148" s="340"/>
      <c r="B148" s="287"/>
      <c r="C148" s="287"/>
      <c r="D148" s="287"/>
      <c r="E148" s="287"/>
      <c r="F148" s="16"/>
      <c r="G148" s="16"/>
      <c r="H148" s="16"/>
      <c r="I148" s="16">
        <f t="shared" si="29"/>
        <v>0</v>
      </c>
      <c r="J148" s="340"/>
      <c r="K148" s="71"/>
      <c r="L148" s="16"/>
      <c r="M148" s="114"/>
    </row>
    <row r="149" spans="1:13" x14ac:dyDescent="0.3">
      <c r="A149" s="340"/>
      <c r="B149" s="287"/>
      <c r="C149" s="287"/>
      <c r="D149" s="287"/>
      <c r="E149" s="287"/>
      <c r="F149" s="16"/>
      <c r="G149" s="16"/>
      <c r="H149" s="16"/>
      <c r="I149" s="16">
        <f t="shared" si="29"/>
        <v>0</v>
      </c>
      <c r="J149" s="340"/>
      <c r="K149" s="71"/>
      <c r="L149" s="27"/>
      <c r="M149" s="114"/>
    </row>
    <row r="150" spans="1:13" ht="15" thickBot="1" x14ac:dyDescent="0.35">
      <c r="A150" s="340"/>
      <c r="B150" s="288"/>
      <c r="C150" s="288"/>
      <c r="D150" s="288"/>
      <c r="E150" s="288"/>
      <c r="F150" s="350" t="s">
        <v>17</v>
      </c>
      <c r="G150" s="350"/>
      <c r="H150" s="56">
        <f>SUM(H145:H149)</f>
        <v>200</v>
      </c>
      <c r="I150" s="56">
        <f>SUM(I145:I149)</f>
        <v>200</v>
      </c>
      <c r="J150" s="56"/>
      <c r="K150" s="79">
        <f>J145-I150</f>
        <v>0</v>
      </c>
      <c r="L150" s="56"/>
      <c r="M150" s="114"/>
    </row>
    <row r="151" spans="1:13" ht="16.5" customHeight="1" thickTop="1" x14ac:dyDescent="0.3">
      <c r="A151" s="241">
        <v>25</v>
      </c>
      <c r="B151" s="328" t="s">
        <v>155</v>
      </c>
      <c r="C151" s="286" t="s">
        <v>90</v>
      </c>
      <c r="D151" s="286" t="s">
        <v>124</v>
      </c>
      <c r="E151" s="292" t="s">
        <v>156</v>
      </c>
      <c r="F151" s="16">
        <v>6668</v>
      </c>
      <c r="G151" s="27" t="s">
        <v>157</v>
      </c>
      <c r="H151" s="16">
        <v>900</v>
      </c>
      <c r="I151" s="16">
        <f t="shared" ref="I151:I155" si="30">SUM(H151:H151)</f>
        <v>900</v>
      </c>
      <c r="J151" s="340">
        <v>900</v>
      </c>
      <c r="K151" s="71"/>
      <c r="L151" s="16" t="s">
        <v>158</v>
      </c>
      <c r="M151" s="114"/>
    </row>
    <row r="152" spans="1:13" x14ac:dyDescent="0.3">
      <c r="A152" s="241"/>
      <c r="B152" s="287"/>
      <c r="C152" s="287"/>
      <c r="D152" s="287"/>
      <c r="E152" s="287"/>
      <c r="F152" s="16"/>
      <c r="G152" s="27"/>
      <c r="H152" s="16"/>
      <c r="I152" s="16">
        <f t="shared" si="30"/>
        <v>0</v>
      </c>
      <c r="J152" s="340"/>
      <c r="K152" s="71"/>
      <c r="L152" s="46" t="s">
        <v>85</v>
      </c>
      <c r="M152" s="114"/>
    </row>
    <row r="153" spans="1:13" x14ac:dyDescent="0.3">
      <c r="A153" s="241"/>
      <c r="B153" s="287"/>
      <c r="C153" s="287"/>
      <c r="D153" s="287"/>
      <c r="E153" s="287"/>
      <c r="F153" s="16"/>
      <c r="G153" s="18"/>
      <c r="H153" s="16"/>
      <c r="I153" s="16">
        <f t="shared" si="30"/>
        <v>0</v>
      </c>
      <c r="J153" s="340"/>
      <c r="K153" s="71"/>
      <c r="L153" s="46" t="s">
        <v>86</v>
      </c>
      <c r="M153" s="114"/>
    </row>
    <row r="154" spans="1:13" x14ac:dyDescent="0.3">
      <c r="A154" s="241"/>
      <c r="B154" s="287"/>
      <c r="C154" s="287"/>
      <c r="D154" s="287"/>
      <c r="E154" s="287"/>
      <c r="F154" s="16"/>
      <c r="G154" s="16"/>
      <c r="H154" s="16"/>
      <c r="I154" s="16">
        <f t="shared" si="30"/>
        <v>0</v>
      </c>
      <c r="J154" s="340"/>
      <c r="K154" s="71"/>
      <c r="L154" s="16"/>
      <c r="M154" s="114"/>
    </row>
    <row r="155" spans="1:13" x14ac:dyDescent="0.3">
      <c r="A155" s="241"/>
      <c r="B155" s="287"/>
      <c r="C155" s="287"/>
      <c r="D155" s="287"/>
      <c r="E155" s="287"/>
      <c r="F155" s="16"/>
      <c r="G155" s="16"/>
      <c r="H155" s="16"/>
      <c r="I155" s="16">
        <f t="shared" si="30"/>
        <v>0</v>
      </c>
      <c r="J155" s="340"/>
      <c r="K155" s="71"/>
      <c r="L155" s="27"/>
      <c r="M155" s="114"/>
    </row>
    <row r="156" spans="1:13" ht="15" thickBot="1" x14ac:dyDescent="0.35">
      <c r="A156" s="242"/>
      <c r="B156" s="288"/>
      <c r="C156" s="288"/>
      <c r="D156" s="288"/>
      <c r="E156" s="288"/>
      <c r="F156" s="350" t="s">
        <v>17</v>
      </c>
      <c r="G156" s="350"/>
      <c r="H156" s="56">
        <f>SUM(H151:H155)</f>
        <v>900</v>
      </c>
      <c r="I156" s="56">
        <f>SUM(I151:I155)</f>
        <v>900</v>
      </c>
      <c r="J156" s="56"/>
      <c r="K156" s="79">
        <f>J151-I156</f>
        <v>0</v>
      </c>
      <c r="L156" s="56"/>
      <c r="M156" s="114"/>
    </row>
    <row r="157" spans="1:13" ht="15" thickTop="1" x14ac:dyDescent="0.3">
      <c r="A157" s="340">
        <f t="shared" ref="A157" si="31">1+A151</f>
        <v>26</v>
      </c>
      <c r="B157" s="328" t="s">
        <v>159</v>
      </c>
      <c r="C157" s="286" t="s">
        <v>114</v>
      </c>
      <c r="D157" s="286" t="s">
        <v>160</v>
      </c>
      <c r="E157" s="292" t="s">
        <v>162</v>
      </c>
      <c r="F157" s="16">
        <v>6573</v>
      </c>
      <c r="G157" s="27" t="s">
        <v>157</v>
      </c>
      <c r="H157" s="16">
        <v>100</v>
      </c>
      <c r="I157" s="16">
        <f t="shared" ref="I157:I161" si="32">SUM(H157:H157)</f>
        <v>100</v>
      </c>
      <c r="J157" s="340">
        <v>100</v>
      </c>
      <c r="K157" s="71"/>
      <c r="L157" s="16" t="s">
        <v>134</v>
      </c>
      <c r="M157" s="114"/>
    </row>
    <row r="158" spans="1:13" x14ac:dyDescent="0.3">
      <c r="A158" s="340"/>
      <c r="B158" s="287"/>
      <c r="C158" s="287"/>
      <c r="D158" s="287"/>
      <c r="E158" s="287"/>
      <c r="F158" s="16"/>
      <c r="G158" s="27"/>
      <c r="H158" s="16"/>
      <c r="I158" s="16">
        <f t="shared" si="32"/>
        <v>0</v>
      </c>
      <c r="J158" s="340"/>
      <c r="K158" s="71"/>
      <c r="L158" s="46" t="s">
        <v>85</v>
      </c>
      <c r="M158" s="114"/>
    </row>
    <row r="159" spans="1:13" x14ac:dyDescent="0.3">
      <c r="A159" s="340"/>
      <c r="B159" s="287"/>
      <c r="C159" s="287"/>
      <c r="D159" s="287"/>
      <c r="E159" s="287"/>
      <c r="F159" s="16"/>
      <c r="G159" s="18"/>
      <c r="H159" s="16"/>
      <c r="I159" s="16">
        <f t="shared" si="32"/>
        <v>0</v>
      </c>
      <c r="J159" s="340"/>
      <c r="K159" s="71"/>
      <c r="L159" s="46" t="s">
        <v>86</v>
      </c>
      <c r="M159" s="114"/>
    </row>
    <row r="160" spans="1:13" x14ac:dyDescent="0.3">
      <c r="A160" s="340"/>
      <c r="B160" s="287"/>
      <c r="C160" s="287"/>
      <c r="D160" s="287"/>
      <c r="E160" s="287"/>
      <c r="F160" s="16"/>
      <c r="G160" s="16"/>
      <c r="H160" s="16"/>
      <c r="I160" s="16">
        <f t="shared" si="32"/>
        <v>0</v>
      </c>
      <c r="J160" s="340"/>
      <c r="K160" s="71"/>
      <c r="L160" s="16"/>
      <c r="M160" s="114"/>
    </row>
    <row r="161" spans="1:13" x14ac:dyDescent="0.3">
      <c r="A161" s="340"/>
      <c r="B161" s="287"/>
      <c r="C161" s="287"/>
      <c r="D161" s="287"/>
      <c r="E161" s="287"/>
      <c r="F161" s="16"/>
      <c r="G161" s="16"/>
      <c r="H161" s="16"/>
      <c r="I161" s="16">
        <f t="shared" si="32"/>
        <v>0</v>
      </c>
      <c r="J161" s="340"/>
      <c r="K161" s="71"/>
      <c r="L161" s="27"/>
      <c r="M161" s="114"/>
    </row>
    <row r="162" spans="1:13" ht="15" thickBot="1" x14ac:dyDescent="0.35">
      <c r="A162" s="340"/>
      <c r="B162" s="288"/>
      <c r="C162" s="288"/>
      <c r="D162" s="288"/>
      <c r="E162" s="288"/>
      <c r="F162" s="350" t="s">
        <v>17</v>
      </c>
      <c r="G162" s="350"/>
      <c r="H162" s="56">
        <f>SUM(H157:H161)</f>
        <v>100</v>
      </c>
      <c r="I162" s="56">
        <f>SUM(I157:I161)</f>
        <v>100</v>
      </c>
      <c r="J162" s="56"/>
      <c r="K162" s="79">
        <f>J157-I162</f>
        <v>0</v>
      </c>
      <c r="L162" s="56"/>
      <c r="M162" s="114"/>
    </row>
    <row r="163" spans="1:13" ht="15" thickTop="1" x14ac:dyDescent="0.3">
      <c r="A163" s="241">
        <v>27</v>
      </c>
      <c r="B163" s="328" t="s">
        <v>163</v>
      </c>
      <c r="C163" s="286" t="s">
        <v>114</v>
      </c>
      <c r="D163" s="286" t="s">
        <v>160</v>
      </c>
      <c r="E163" s="292" t="s">
        <v>161</v>
      </c>
      <c r="F163" s="16">
        <v>6574</v>
      </c>
      <c r="G163" s="27" t="s">
        <v>157</v>
      </c>
      <c r="H163" s="16">
        <v>200</v>
      </c>
      <c r="I163" s="16">
        <f t="shared" ref="I163:I167" si="33">SUM(H163:H163)</f>
        <v>200</v>
      </c>
      <c r="J163" s="340">
        <v>200</v>
      </c>
      <c r="K163" s="71"/>
      <c r="L163" s="16" t="s">
        <v>138</v>
      </c>
      <c r="M163" s="114"/>
    </row>
    <row r="164" spans="1:13" x14ac:dyDescent="0.3">
      <c r="A164" s="241"/>
      <c r="B164" s="287"/>
      <c r="C164" s="287"/>
      <c r="D164" s="287"/>
      <c r="E164" s="287"/>
      <c r="F164" s="16"/>
      <c r="G164" s="27"/>
      <c r="H164" s="16"/>
      <c r="I164" s="16">
        <f t="shared" si="33"/>
        <v>0</v>
      </c>
      <c r="J164" s="340"/>
      <c r="K164" s="71"/>
      <c r="L164" s="46" t="s">
        <v>85</v>
      </c>
      <c r="M164" s="114"/>
    </row>
    <row r="165" spans="1:13" x14ac:dyDescent="0.3">
      <c r="A165" s="241"/>
      <c r="B165" s="287"/>
      <c r="C165" s="287"/>
      <c r="D165" s="287"/>
      <c r="E165" s="287"/>
      <c r="F165" s="16"/>
      <c r="G165" s="18"/>
      <c r="H165" s="16"/>
      <c r="I165" s="16">
        <f t="shared" si="33"/>
        <v>0</v>
      </c>
      <c r="J165" s="340"/>
      <c r="K165" s="71"/>
      <c r="L165" s="46" t="s">
        <v>86</v>
      </c>
      <c r="M165" s="114"/>
    </row>
    <row r="166" spans="1:13" x14ac:dyDescent="0.3">
      <c r="A166" s="241"/>
      <c r="B166" s="287"/>
      <c r="C166" s="287"/>
      <c r="D166" s="287"/>
      <c r="E166" s="287"/>
      <c r="F166" s="16"/>
      <c r="G166" s="16"/>
      <c r="H166" s="16"/>
      <c r="I166" s="16">
        <f t="shared" si="33"/>
        <v>0</v>
      </c>
      <c r="J166" s="340"/>
      <c r="K166" s="71"/>
      <c r="L166" s="16"/>
      <c r="M166" s="114"/>
    </row>
    <row r="167" spans="1:13" x14ac:dyDescent="0.3">
      <c r="A167" s="241"/>
      <c r="B167" s="287"/>
      <c r="C167" s="287"/>
      <c r="D167" s="287"/>
      <c r="E167" s="287"/>
      <c r="F167" s="16"/>
      <c r="G167" s="16"/>
      <c r="H167" s="16"/>
      <c r="I167" s="16">
        <f t="shared" si="33"/>
        <v>0</v>
      </c>
      <c r="J167" s="340"/>
      <c r="K167" s="71"/>
      <c r="L167" s="27"/>
      <c r="M167" s="114"/>
    </row>
    <row r="168" spans="1:13" ht="15" thickBot="1" x14ac:dyDescent="0.35">
      <c r="A168" s="242"/>
      <c r="B168" s="288"/>
      <c r="C168" s="288"/>
      <c r="D168" s="288"/>
      <c r="E168" s="288"/>
      <c r="F168" s="350" t="s">
        <v>17</v>
      </c>
      <c r="G168" s="350"/>
      <c r="H168" s="56">
        <f>SUM(H163:H167)</f>
        <v>200</v>
      </c>
      <c r="I168" s="56">
        <f>SUM(I163:I167)</f>
        <v>200</v>
      </c>
      <c r="J168" s="56"/>
      <c r="K168" s="79">
        <f>J163-I168</f>
        <v>0</v>
      </c>
      <c r="L168" s="56"/>
      <c r="M168" s="114"/>
    </row>
    <row r="169" spans="1:13" ht="15.6" thickTop="1" thickBot="1" x14ac:dyDescent="0.35">
      <c r="A169" s="246">
        <v>28</v>
      </c>
      <c r="B169" s="328" t="s">
        <v>479</v>
      </c>
      <c r="C169" s="328" t="s">
        <v>74</v>
      </c>
      <c r="D169" s="328" t="s">
        <v>480</v>
      </c>
      <c r="E169" s="292" t="s">
        <v>482</v>
      </c>
      <c r="F169" s="15"/>
      <c r="G169" s="28"/>
      <c r="H169" s="15"/>
      <c r="I169" s="16">
        <f>SUM(H169:H169)</f>
        <v>0</v>
      </c>
      <c r="J169" s="282">
        <v>500</v>
      </c>
      <c r="K169" s="72"/>
      <c r="L169" s="133" t="s">
        <v>187</v>
      </c>
      <c r="M169" s="204"/>
    </row>
    <row r="170" spans="1:13" ht="15" thickTop="1" x14ac:dyDescent="0.3">
      <c r="A170" s="246"/>
      <c r="B170" s="287"/>
      <c r="C170" s="287"/>
      <c r="D170" s="287"/>
      <c r="E170" s="354"/>
      <c r="F170" s="16"/>
      <c r="G170" s="27"/>
      <c r="H170" s="16"/>
      <c r="I170" s="16">
        <f>SUM(H170:H170)</f>
        <v>0</v>
      </c>
      <c r="J170" s="246"/>
      <c r="K170" s="72"/>
      <c r="L170" s="205" t="s">
        <v>85</v>
      </c>
      <c r="M170" s="204"/>
    </row>
    <row r="171" spans="1:13" x14ac:dyDescent="0.3">
      <c r="A171" s="246"/>
      <c r="B171" s="287"/>
      <c r="C171" s="287"/>
      <c r="D171" s="287"/>
      <c r="E171" s="354"/>
      <c r="F171" s="16">
        <v>6673</v>
      </c>
      <c r="G171" s="18" t="s">
        <v>481</v>
      </c>
      <c r="H171" s="16">
        <v>500</v>
      </c>
      <c r="I171" s="16">
        <f>SUM(H171:H171)</f>
        <v>500</v>
      </c>
      <c r="J171" s="246"/>
      <c r="K171" s="72"/>
      <c r="L171" s="206" t="s">
        <v>86</v>
      </c>
      <c r="M171" s="204"/>
    </row>
    <row r="172" spans="1:13" x14ac:dyDescent="0.3">
      <c r="A172" s="246"/>
      <c r="B172" s="287"/>
      <c r="C172" s="287"/>
      <c r="D172" s="287"/>
      <c r="E172" s="354"/>
      <c r="F172" s="16"/>
      <c r="G172" s="16"/>
      <c r="H172" s="16"/>
      <c r="I172" s="16">
        <f>SUM(H172:H172)</f>
        <v>0</v>
      </c>
      <c r="J172" s="246"/>
      <c r="K172" s="72"/>
      <c r="L172" s="136"/>
      <c r="M172" s="204"/>
    </row>
    <row r="173" spans="1:13" ht="15" thickBot="1" x14ac:dyDescent="0.35">
      <c r="A173" s="246"/>
      <c r="B173" s="287"/>
      <c r="C173" s="287"/>
      <c r="D173" s="287"/>
      <c r="E173" s="354"/>
      <c r="F173" s="17"/>
      <c r="G173" s="17"/>
      <c r="H173" s="17"/>
      <c r="I173" s="17">
        <f>SUM(H173:H173)</f>
        <v>0</v>
      </c>
      <c r="J173" s="247"/>
      <c r="K173" s="90"/>
      <c r="L173" s="137"/>
      <c r="M173" s="204"/>
    </row>
    <row r="174" spans="1:13" ht="15.6" thickTop="1" thickBot="1" x14ac:dyDescent="0.35">
      <c r="A174" s="247"/>
      <c r="B174" s="288"/>
      <c r="C174" s="288"/>
      <c r="D174" s="288"/>
      <c r="E174" s="441"/>
      <c r="F174" s="442" t="s">
        <v>17</v>
      </c>
      <c r="G174" s="443"/>
      <c r="H174" s="207">
        <f>SUM(H169:H173)</f>
        <v>500</v>
      </c>
      <c r="I174" s="207">
        <f>SUM(I169:I173)</f>
        <v>500</v>
      </c>
      <c r="J174" s="207"/>
      <c r="K174" s="208">
        <f>J169-I174</f>
        <v>0</v>
      </c>
      <c r="L174" s="209"/>
      <c r="M174" s="204"/>
    </row>
    <row r="175" spans="1:13" ht="15" thickTop="1" x14ac:dyDescent="0.3">
      <c r="A175" s="340">
        <v>29</v>
      </c>
      <c r="B175" s="328" t="s">
        <v>164</v>
      </c>
      <c r="C175" s="286" t="s">
        <v>133</v>
      </c>
      <c r="D175" s="286" t="s">
        <v>160</v>
      </c>
      <c r="E175" s="292" t="s">
        <v>129</v>
      </c>
      <c r="F175" s="16">
        <v>6575</v>
      </c>
      <c r="G175" s="27" t="s">
        <v>157</v>
      </c>
      <c r="H175" s="16">
        <v>100</v>
      </c>
      <c r="I175" s="16">
        <f t="shared" ref="I175:I179" si="34">SUM(H175:H175)</f>
        <v>100</v>
      </c>
      <c r="J175" s="340">
        <v>100</v>
      </c>
      <c r="K175" s="71"/>
      <c r="L175" s="16" t="s">
        <v>134</v>
      </c>
      <c r="M175" s="114"/>
    </row>
    <row r="176" spans="1:13" x14ac:dyDescent="0.3">
      <c r="A176" s="340"/>
      <c r="B176" s="287"/>
      <c r="C176" s="287"/>
      <c r="D176" s="287"/>
      <c r="E176" s="287"/>
      <c r="F176" s="16"/>
      <c r="G176" s="27"/>
      <c r="H176" s="16"/>
      <c r="I176" s="16">
        <f t="shared" si="34"/>
        <v>0</v>
      </c>
      <c r="J176" s="340"/>
      <c r="K176" s="71"/>
      <c r="L176" s="46" t="s">
        <v>85</v>
      </c>
      <c r="M176" s="114"/>
    </row>
    <row r="177" spans="1:13" x14ac:dyDescent="0.3">
      <c r="A177" s="340"/>
      <c r="B177" s="287"/>
      <c r="C177" s="287"/>
      <c r="D177" s="287"/>
      <c r="E177" s="287"/>
      <c r="F177" s="16"/>
      <c r="G177" s="18"/>
      <c r="H177" s="16"/>
      <c r="I177" s="16">
        <f t="shared" si="34"/>
        <v>0</v>
      </c>
      <c r="J177" s="340"/>
      <c r="K177" s="71"/>
      <c r="L177" s="46" t="s">
        <v>86</v>
      </c>
      <c r="M177" s="114"/>
    </row>
    <row r="178" spans="1:13" x14ac:dyDescent="0.3">
      <c r="A178" s="340"/>
      <c r="B178" s="287"/>
      <c r="C178" s="287"/>
      <c r="D178" s="287"/>
      <c r="E178" s="287"/>
      <c r="F178" s="16"/>
      <c r="G178" s="16"/>
      <c r="H178" s="16"/>
      <c r="I178" s="16">
        <f t="shared" si="34"/>
        <v>0</v>
      </c>
      <c r="J178" s="340"/>
      <c r="K178" s="71"/>
      <c r="L178" s="16"/>
      <c r="M178" s="114"/>
    </row>
    <row r="179" spans="1:13" x14ac:dyDescent="0.3">
      <c r="A179" s="340"/>
      <c r="B179" s="287"/>
      <c r="C179" s="287"/>
      <c r="D179" s="287"/>
      <c r="E179" s="287"/>
      <c r="F179" s="16"/>
      <c r="G179" s="16"/>
      <c r="H179" s="16"/>
      <c r="I179" s="16">
        <f t="shared" si="34"/>
        <v>0</v>
      </c>
      <c r="J179" s="340"/>
      <c r="K179" s="71"/>
      <c r="L179" s="27"/>
      <c r="M179" s="114"/>
    </row>
    <row r="180" spans="1:13" ht="15" thickBot="1" x14ac:dyDescent="0.35">
      <c r="A180" s="340"/>
      <c r="B180" s="288"/>
      <c r="C180" s="288"/>
      <c r="D180" s="288"/>
      <c r="E180" s="288"/>
      <c r="F180" s="350" t="s">
        <v>17</v>
      </c>
      <c r="G180" s="350"/>
      <c r="H180" s="56">
        <f>SUM(H175:H179)</f>
        <v>100</v>
      </c>
      <c r="I180" s="56">
        <f>SUM(I175:I179)</f>
        <v>100</v>
      </c>
      <c r="J180" s="56"/>
      <c r="K180" s="79">
        <f>J175-I180</f>
        <v>0</v>
      </c>
      <c r="L180" s="56"/>
      <c r="M180" s="114"/>
    </row>
    <row r="181" spans="1:13" ht="15" thickTop="1" x14ac:dyDescent="0.3">
      <c r="A181" s="241">
        <v>30</v>
      </c>
      <c r="B181" s="328" t="s">
        <v>165</v>
      </c>
      <c r="C181" s="286" t="s">
        <v>90</v>
      </c>
      <c r="D181" s="286" t="s">
        <v>124</v>
      </c>
      <c r="E181" s="292" t="s">
        <v>166</v>
      </c>
      <c r="F181" s="16">
        <v>6576</v>
      </c>
      <c r="G181" s="27" t="s">
        <v>157</v>
      </c>
      <c r="H181" s="16">
        <v>300</v>
      </c>
      <c r="I181" s="16">
        <f t="shared" ref="I181:I185" si="35">SUM(H181:H181)</f>
        <v>300</v>
      </c>
      <c r="J181" s="340">
        <v>300</v>
      </c>
      <c r="K181" s="71"/>
      <c r="L181" s="16" t="s">
        <v>107</v>
      </c>
      <c r="M181" s="114"/>
    </row>
    <row r="182" spans="1:13" x14ac:dyDescent="0.3">
      <c r="A182" s="241"/>
      <c r="B182" s="287"/>
      <c r="C182" s="287"/>
      <c r="D182" s="287"/>
      <c r="E182" s="287"/>
      <c r="F182" s="16"/>
      <c r="G182" s="27"/>
      <c r="H182" s="16"/>
      <c r="I182" s="16">
        <f t="shared" si="35"/>
        <v>0</v>
      </c>
      <c r="J182" s="340"/>
      <c r="K182" s="71"/>
      <c r="L182" s="46" t="s">
        <v>85</v>
      </c>
      <c r="M182" s="114"/>
    </row>
    <row r="183" spans="1:13" x14ac:dyDescent="0.3">
      <c r="A183" s="241"/>
      <c r="B183" s="287"/>
      <c r="C183" s="287"/>
      <c r="D183" s="287"/>
      <c r="E183" s="287"/>
      <c r="F183" s="16"/>
      <c r="G183" s="18"/>
      <c r="H183" s="16"/>
      <c r="I183" s="16">
        <f t="shared" si="35"/>
        <v>0</v>
      </c>
      <c r="J183" s="340"/>
      <c r="K183" s="71"/>
      <c r="L183" s="46" t="s">
        <v>86</v>
      </c>
      <c r="M183" s="114"/>
    </row>
    <row r="184" spans="1:13" x14ac:dyDescent="0.3">
      <c r="A184" s="241"/>
      <c r="B184" s="287"/>
      <c r="C184" s="287"/>
      <c r="D184" s="287"/>
      <c r="E184" s="287"/>
      <c r="F184" s="16"/>
      <c r="G184" s="16"/>
      <c r="H184" s="16"/>
      <c r="I184" s="16">
        <f t="shared" si="35"/>
        <v>0</v>
      </c>
      <c r="J184" s="340"/>
      <c r="K184" s="71"/>
      <c r="L184" s="16"/>
      <c r="M184" s="114"/>
    </row>
    <row r="185" spans="1:13" x14ac:dyDescent="0.3">
      <c r="A185" s="241"/>
      <c r="B185" s="287"/>
      <c r="C185" s="287"/>
      <c r="D185" s="287"/>
      <c r="E185" s="287"/>
      <c r="F185" s="16"/>
      <c r="G185" s="16"/>
      <c r="H185" s="16"/>
      <c r="I185" s="16">
        <f t="shared" si="35"/>
        <v>0</v>
      </c>
      <c r="J185" s="340"/>
      <c r="K185" s="71"/>
      <c r="L185" s="27"/>
      <c r="M185" s="114"/>
    </row>
    <row r="186" spans="1:13" ht="15" thickBot="1" x14ac:dyDescent="0.35">
      <c r="A186" s="242"/>
      <c r="B186" s="288"/>
      <c r="C186" s="288"/>
      <c r="D186" s="288"/>
      <c r="E186" s="288"/>
      <c r="F186" s="350" t="s">
        <v>17</v>
      </c>
      <c r="G186" s="350"/>
      <c r="H186" s="56">
        <f>SUM(H181:H185)</f>
        <v>300</v>
      </c>
      <c r="I186" s="56">
        <f>SUM(I181:I185)</f>
        <v>300</v>
      </c>
      <c r="J186" s="56"/>
      <c r="K186" s="79">
        <f>J181-I186</f>
        <v>0</v>
      </c>
      <c r="L186" s="56"/>
      <c r="M186" s="114"/>
    </row>
    <row r="187" spans="1:13" ht="16.5" customHeight="1" thickTop="1" x14ac:dyDescent="0.3">
      <c r="A187" s="340">
        <f t="shared" ref="A187" si="36">1+A181</f>
        <v>31</v>
      </c>
      <c r="B187" s="328" t="s">
        <v>167</v>
      </c>
      <c r="C187" s="286" t="s">
        <v>133</v>
      </c>
      <c r="D187" s="286" t="s">
        <v>124</v>
      </c>
      <c r="E187" s="292" t="s">
        <v>129</v>
      </c>
      <c r="F187" s="16">
        <v>6577</v>
      </c>
      <c r="G187" s="27" t="s">
        <v>157</v>
      </c>
      <c r="H187" s="16">
        <v>100</v>
      </c>
      <c r="I187" s="16">
        <f t="shared" ref="I187:I191" si="37">SUM(H187:H187)</f>
        <v>100</v>
      </c>
      <c r="J187" s="340">
        <v>100</v>
      </c>
      <c r="K187" s="71"/>
      <c r="L187" s="16" t="s">
        <v>134</v>
      </c>
      <c r="M187" s="114"/>
    </row>
    <row r="188" spans="1:13" x14ac:dyDescent="0.3">
      <c r="A188" s="340"/>
      <c r="B188" s="287"/>
      <c r="C188" s="287"/>
      <c r="D188" s="287"/>
      <c r="E188" s="287"/>
      <c r="F188" s="16"/>
      <c r="G188" s="27"/>
      <c r="H188" s="16"/>
      <c r="I188" s="16">
        <f t="shared" si="37"/>
        <v>0</v>
      </c>
      <c r="J188" s="340"/>
      <c r="K188" s="71"/>
      <c r="L188" s="46" t="s">
        <v>85</v>
      </c>
      <c r="M188" s="114"/>
    </row>
    <row r="189" spans="1:13" x14ac:dyDescent="0.3">
      <c r="A189" s="340"/>
      <c r="B189" s="287"/>
      <c r="C189" s="287"/>
      <c r="D189" s="287"/>
      <c r="E189" s="287"/>
      <c r="F189" s="16"/>
      <c r="G189" s="18"/>
      <c r="H189" s="16"/>
      <c r="I189" s="16">
        <f t="shared" si="37"/>
        <v>0</v>
      </c>
      <c r="J189" s="340"/>
      <c r="K189" s="71"/>
      <c r="L189" s="46" t="s">
        <v>86</v>
      </c>
      <c r="M189" s="114"/>
    </row>
    <row r="190" spans="1:13" x14ac:dyDescent="0.3">
      <c r="A190" s="340"/>
      <c r="B190" s="287"/>
      <c r="C190" s="287"/>
      <c r="D190" s="287"/>
      <c r="E190" s="287"/>
      <c r="F190" s="16"/>
      <c r="G190" s="16"/>
      <c r="H190" s="16"/>
      <c r="I190" s="16">
        <f t="shared" si="37"/>
        <v>0</v>
      </c>
      <c r="J190" s="340"/>
      <c r="K190" s="71"/>
      <c r="L190" s="16"/>
      <c r="M190" s="114"/>
    </row>
    <row r="191" spans="1:13" x14ac:dyDescent="0.3">
      <c r="A191" s="340"/>
      <c r="B191" s="287"/>
      <c r="C191" s="287"/>
      <c r="D191" s="287"/>
      <c r="E191" s="287"/>
      <c r="F191" s="16"/>
      <c r="G191" s="16"/>
      <c r="H191" s="16"/>
      <c r="I191" s="16">
        <f t="shared" si="37"/>
        <v>0</v>
      </c>
      <c r="J191" s="340"/>
      <c r="K191" s="71"/>
      <c r="L191" s="27"/>
      <c r="M191" s="114"/>
    </row>
    <row r="192" spans="1:13" ht="15" thickBot="1" x14ac:dyDescent="0.35">
      <c r="A192" s="340"/>
      <c r="B192" s="288"/>
      <c r="C192" s="288"/>
      <c r="D192" s="288"/>
      <c r="E192" s="288"/>
      <c r="F192" s="350" t="s">
        <v>17</v>
      </c>
      <c r="G192" s="350"/>
      <c r="H192" s="56">
        <f>SUM(H187:H191)</f>
        <v>100</v>
      </c>
      <c r="I192" s="56">
        <f>SUM(I187:I191)</f>
        <v>100</v>
      </c>
      <c r="J192" s="56"/>
      <c r="K192" s="79">
        <f>J187-I192</f>
        <v>0</v>
      </c>
      <c r="L192" s="56"/>
      <c r="M192" s="114"/>
    </row>
    <row r="193" spans="1:13" ht="15" thickTop="1" x14ac:dyDescent="0.3">
      <c r="A193" s="241">
        <v>32</v>
      </c>
      <c r="B193" s="328" t="s">
        <v>168</v>
      </c>
      <c r="C193" s="286" t="s">
        <v>133</v>
      </c>
      <c r="D193" s="286" t="s">
        <v>124</v>
      </c>
      <c r="E193" s="292" t="s">
        <v>169</v>
      </c>
      <c r="F193" s="16">
        <v>6578</v>
      </c>
      <c r="G193" s="27" t="s">
        <v>170</v>
      </c>
      <c r="H193" s="16">
        <v>100</v>
      </c>
      <c r="I193" s="16">
        <f t="shared" ref="I193:I197" si="38">SUM(H193:H193)</f>
        <v>100</v>
      </c>
      <c r="J193" s="340">
        <v>100</v>
      </c>
      <c r="K193" s="71"/>
      <c r="L193" s="16" t="s">
        <v>134</v>
      </c>
      <c r="M193" s="114"/>
    </row>
    <row r="194" spans="1:13" x14ac:dyDescent="0.3">
      <c r="A194" s="241"/>
      <c r="B194" s="287"/>
      <c r="C194" s="287"/>
      <c r="D194" s="287"/>
      <c r="E194" s="287"/>
      <c r="F194" s="16"/>
      <c r="G194" s="27"/>
      <c r="H194" s="16"/>
      <c r="I194" s="16">
        <f t="shared" si="38"/>
        <v>0</v>
      </c>
      <c r="J194" s="340"/>
      <c r="K194" s="71"/>
      <c r="L194" s="46" t="s">
        <v>85</v>
      </c>
      <c r="M194" s="114"/>
    </row>
    <row r="195" spans="1:13" x14ac:dyDescent="0.3">
      <c r="A195" s="241"/>
      <c r="B195" s="287"/>
      <c r="C195" s="287"/>
      <c r="D195" s="287"/>
      <c r="E195" s="287"/>
      <c r="F195" s="16"/>
      <c r="G195" s="18"/>
      <c r="H195" s="16"/>
      <c r="I195" s="16">
        <f t="shared" si="38"/>
        <v>0</v>
      </c>
      <c r="J195" s="340"/>
      <c r="K195" s="71"/>
      <c r="L195" s="46" t="s">
        <v>86</v>
      </c>
      <c r="M195" s="114"/>
    </row>
    <row r="196" spans="1:13" x14ac:dyDescent="0.3">
      <c r="A196" s="241"/>
      <c r="B196" s="287"/>
      <c r="C196" s="287"/>
      <c r="D196" s="287"/>
      <c r="E196" s="287"/>
      <c r="F196" s="16"/>
      <c r="G196" s="16"/>
      <c r="H196" s="16"/>
      <c r="I196" s="16">
        <f t="shared" si="38"/>
        <v>0</v>
      </c>
      <c r="J196" s="340"/>
      <c r="K196" s="71"/>
      <c r="L196" s="16"/>
      <c r="M196" s="114"/>
    </row>
    <row r="197" spans="1:13" x14ac:dyDescent="0.3">
      <c r="A197" s="241"/>
      <c r="B197" s="287"/>
      <c r="C197" s="287"/>
      <c r="D197" s="287"/>
      <c r="E197" s="287"/>
      <c r="F197" s="16"/>
      <c r="G197" s="16"/>
      <c r="H197" s="16"/>
      <c r="I197" s="16">
        <f t="shared" si="38"/>
        <v>0</v>
      </c>
      <c r="J197" s="340"/>
      <c r="K197" s="71"/>
      <c r="L197" s="27"/>
      <c r="M197" s="114"/>
    </row>
    <row r="198" spans="1:13" ht="15" thickBot="1" x14ac:dyDescent="0.35">
      <c r="A198" s="242"/>
      <c r="B198" s="288"/>
      <c r="C198" s="288"/>
      <c r="D198" s="288"/>
      <c r="E198" s="288"/>
      <c r="F198" s="350" t="s">
        <v>17</v>
      </c>
      <c r="G198" s="350"/>
      <c r="H198" s="56">
        <f>SUM(H193:H197)</f>
        <v>100</v>
      </c>
      <c r="I198" s="56">
        <f>SUM(I193:I197)</f>
        <v>100</v>
      </c>
      <c r="J198" s="56"/>
      <c r="K198" s="79">
        <f>J193-I198</f>
        <v>0</v>
      </c>
      <c r="L198" s="56"/>
      <c r="M198" s="114"/>
    </row>
    <row r="199" spans="1:13" ht="16.5" customHeight="1" thickTop="1" x14ac:dyDescent="0.3">
      <c r="A199" s="340">
        <f t="shared" ref="A199" si="39">1+A193</f>
        <v>33</v>
      </c>
      <c r="B199" s="328" t="s">
        <v>171</v>
      </c>
      <c r="C199" s="286" t="s">
        <v>133</v>
      </c>
      <c r="D199" s="286" t="s">
        <v>124</v>
      </c>
      <c r="E199" s="292" t="s">
        <v>170</v>
      </c>
      <c r="F199" s="16">
        <v>6579</v>
      </c>
      <c r="G199" s="27" t="s">
        <v>170</v>
      </c>
      <c r="H199" s="16">
        <v>100</v>
      </c>
      <c r="I199" s="16">
        <f t="shared" ref="I199:I203" si="40">SUM(H199:H199)</f>
        <v>100</v>
      </c>
      <c r="J199" s="340">
        <v>100</v>
      </c>
      <c r="K199" s="71"/>
      <c r="L199" s="16" t="s">
        <v>134</v>
      </c>
      <c r="M199" s="114"/>
    </row>
    <row r="200" spans="1:13" x14ac:dyDescent="0.3">
      <c r="A200" s="340"/>
      <c r="B200" s="287"/>
      <c r="C200" s="287"/>
      <c r="D200" s="287"/>
      <c r="E200" s="287"/>
      <c r="F200" s="16"/>
      <c r="G200" s="27"/>
      <c r="H200" s="16"/>
      <c r="I200" s="16">
        <f t="shared" si="40"/>
        <v>0</v>
      </c>
      <c r="J200" s="340"/>
      <c r="K200" s="71"/>
      <c r="L200" s="46" t="s">
        <v>85</v>
      </c>
      <c r="M200" s="114"/>
    </row>
    <row r="201" spans="1:13" x14ac:dyDescent="0.3">
      <c r="A201" s="340"/>
      <c r="B201" s="287"/>
      <c r="C201" s="287"/>
      <c r="D201" s="287"/>
      <c r="E201" s="287"/>
      <c r="F201" s="16"/>
      <c r="G201" s="18"/>
      <c r="H201" s="16"/>
      <c r="I201" s="16">
        <f t="shared" si="40"/>
        <v>0</v>
      </c>
      <c r="J201" s="340"/>
      <c r="K201" s="71"/>
      <c r="L201" s="46" t="s">
        <v>86</v>
      </c>
      <c r="M201" s="114"/>
    </row>
    <row r="202" spans="1:13" x14ac:dyDescent="0.3">
      <c r="A202" s="340"/>
      <c r="B202" s="287"/>
      <c r="C202" s="287"/>
      <c r="D202" s="287"/>
      <c r="E202" s="287"/>
      <c r="F202" s="16"/>
      <c r="G202" s="16"/>
      <c r="H202" s="16"/>
      <c r="I202" s="16">
        <f t="shared" si="40"/>
        <v>0</v>
      </c>
      <c r="J202" s="340"/>
      <c r="K202" s="71"/>
      <c r="L202" s="16"/>
      <c r="M202" s="114"/>
    </row>
    <row r="203" spans="1:13" x14ac:dyDescent="0.3">
      <c r="A203" s="340"/>
      <c r="B203" s="287"/>
      <c r="C203" s="287"/>
      <c r="D203" s="287"/>
      <c r="E203" s="287"/>
      <c r="F203" s="16"/>
      <c r="G203" s="16"/>
      <c r="H203" s="16"/>
      <c r="I203" s="16">
        <f t="shared" si="40"/>
        <v>0</v>
      </c>
      <c r="J203" s="340"/>
      <c r="K203" s="71"/>
      <c r="L203" s="27"/>
      <c r="M203" s="114"/>
    </row>
    <row r="204" spans="1:13" ht="15" thickBot="1" x14ac:dyDescent="0.35">
      <c r="A204" s="340"/>
      <c r="B204" s="288"/>
      <c r="C204" s="288"/>
      <c r="D204" s="288"/>
      <c r="E204" s="288"/>
      <c r="F204" s="350" t="s">
        <v>17</v>
      </c>
      <c r="G204" s="350"/>
      <c r="H204" s="56">
        <f>SUM(H199:H203)</f>
        <v>100</v>
      </c>
      <c r="I204" s="56">
        <f>SUM(I199:I203)</f>
        <v>100</v>
      </c>
      <c r="J204" s="56"/>
      <c r="K204" s="79">
        <f>J199-I204</f>
        <v>0</v>
      </c>
      <c r="L204" s="56"/>
      <c r="M204" s="114"/>
    </row>
    <row r="205" spans="1:13" ht="16.5" customHeight="1" thickTop="1" x14ac:dyDescent="0.3">
      <c r="A205" s="241">
        <v>34</v>
      </c>
      <c r="B205" s="328" t="s">
        <v>152</v>
      </c>
      <c r="C205" s="286" t="s">
        <v>153</v>
      </c>
      <c r="D205" s="286" t="s">
        <v>160</v>
      </c>
      <c r="E205" s="292" t="s">
        <v>172</v>
      </c>
      <c r="F205" s="16">
        <v>6580</v>
      </c>
      <c r="G205" s="27" t="s">
        <v>170</v>
      </c>
      <c r="H205" s="16">
        <v>1300</v>
      </c>
      <c r="I205" s="16">
        <f t="shared" ref="I205:I209" si="41">SUM(H205:H205)</f>
        <v>1300</v>
      </c>
      <c r="J205" s="340">
        <v>1300</v>
      </c>
      <c r="K205" s="71"/>
      <c r="L205" s="16" t="s">
        <v>173</v>
      </c>
      <c r="M205" s="114"/>
    </row>
    <row r="206" spans="1:13" x14ac:dyDescent="0.3">
      <c r="A206" s="241"/>
      <c r="B206" s="287"/>
      <c r="C206" s="287"/>
      <c r="D206" s="287"/>
      <c r="E206" s="287"/>
      <c r="F206" s="16"/>
      <c r="G206" s="27"/>
      <c r="H206" s="16"/>
      <c r="I206" s="16">
        <f t="shared" si="41"/>
        <v>0</v>
      </c>
      <c r="J206" s="340"/>
      <c r="K206" s="71"/>
      <c r="L206" s="46" t="s">
        <v>85</v>
      </c>
      <c r="M206" s="114"/>
    </row>
    <row r="207" spans="1:13" x14ac:dyDescent="0.3">
      <c r="A207" s="241"/>
      <c r="B207" s="287"/>
      <c r="C207" s="287"/>
      <c r="D207" s="287"/>
      <c r="E207" s="287"/>
      <c r="F207" s="16"/>
      <c r="G207" s="18"/>
      <c r="H207" s="16"/>
      <c r="I207" s="16">
        <f t="shared" si="41"/>
        <v>0</v>
      </c>
      <c r="J207" s="340"/>
      <c r="K207" s="71"/>
      <c r="L207" s="46" t="s">
        <v>86</v>
      </c>
      <c r="M207" s="114"/>
    </row>
    <row r="208" spans="1:13" x14ac:dyDescent="0.3">
      <c r="A208" s="241"/>
      <c r="B208" s="287"/>
      <c r="C208" s="287"/>
      <c r="D208" s="287"/>
      <c r="E208" s="287"/>
      <c r="F208" s="16"/>
      <c r="G208" s="16"/>
      <c r="H208" s="16"/>
      <c r="I208" s="16">
        <f t="shared" si="41"/>
        <v>0</v>
      </c>
      <c r="J208" s="340"/>
      <c r="K208" s="71"/>
      <c r="L208" s="16"/>
      <c r="M208" s="114"/>
    </row>
    <row r="209" spans="1:13" x14ac:dyDescent="0.3">
      <c r="A209" s="241"/>
      <c r="B209" s="287"/>
      <c r="C209" s="287"/>
      <c r="D209" s="287"/>
      <c r="E209" s="287"/>
      <c r="F209" s="16"/>
      <c r="G209" s="16"/>
      <c r="H209" s="16"/>
      <c r="I209" s="16">
        <f t="shared" si="41"/>
        <v>0</v>
      </c>
      <c r="J209" s="340"/>
      <c r="K209" s="71"/>
      <c r="L209" s="27"/>
      <c r="M209" s="114"/>
    </row>
    <row r="210" spans="1:13" ht="15" thickBot="1" x14ac:dyDescent="0.35">
      <c r="A210" s="242"/>
      <c r="B210" s="288"/>
      <c r="C210" s="288"/>
      <c r="D210" s="288"/>
      <c r="E210" s="288"/>
      <c r="F210" s="350" t="s">
        <v>17</v>
      </c>
      <c r="G210" s="350"/>
      <c r="H210" s="56">
        <f>SUM(H205:H209)</f>
        <v>1300</v>
      </c>
      <c r="I210" s="56">
        <f>SUM(I205:I209)</f>
        <v>1300</v>
      </c>
      <c r="J210" s="56"/>
      <c r="K210" s="79">
        <f>J205-I210</f>
        <v>0</v>
      </c>
      <c r="L210" s="56"/>
      <c r="M210" s="114"/>
    </row>
    <row r="211" spans="1:13" ht="16.5" customHeight="1" thickTop="1" x14ac:dyDescent="0.3">
      <c r="A211" s="340">
        <f t="shared" ref="A211" si="42">1+A205</f>
        <v>35</v>
      </c>
      <c r="B211" s="328" t="s">
        <v>174</v>
      </c>
      <c r="C211" s="286" t="s">
        <v>175</v>
      </c>
      <c r="D211" s="286" t="s">
        <v>124</v>
      </c>
      <c r="E211" s="292" t="s">
        <v>176</v>
      </c>
      <c r="F211" s="16">
        <v>6581</v>
      </c>
      <c r="G211" s="27" t="s">
        <v>170</v>
      </c>
      <c r="H211" s="16">
        <v>600</v>
      </c>
      <c r="I211" s="16">
        <f t="shared" ref="I211:I215" si="43">SUM(H211:H211)</f>
        <v>600</v>
      </c>
      <c r="J211" s="340">
        <v>600</v>
      </c>
      <c r="K211" s="71"/>
      <c r="L211" s="16" t="s">
        <v>177</v>
      </c>
      <c r="M211" s="114"/>
    </row>
    <row r="212" spans="1:13" x14ac:dyDescent="0.3">
      <c r="A212" s="340"/>
      <c r="B212" s="287"/>
      <c r="C212" s="287"/>
      <c r="D212" s="287"/>
      <c r="E212" s="287"/>
      <c r="F212" s="16"/>
      <c r="G212" s="27"/>
      <c r="H212" s="16"/>
      <c r="I212" s="16">
        <f t="shared" si="43"/>
        <v>0</v>
      </c>
      <c r="J212" s="340"/>
      <c r="K212" s="71"/>
      <c r="L212" s="46" t="s">
        <v>85</v>
      </c>
      <c r="M212" s="114"/>
    </row>
    <row r="213" spans="1:13" x14ac:dyDescent="0.3">
      <c r="A213" s="340"/>
      <c r="B213" s="287"/>
      <c r="C213" s="287"/>
      <c r="D213" s="287"/>
      <c r="E213" s="287"/>
      <c r="F213" s="16"/>
      <c r="G213" s="18"/>
      <c r="H213" s="16"/>
      <c r="I213" s="16">
        <f t="shared" si="43"/>
        <v>0</v>
      </c>
      <c r="J213" s="340"/>
      <c r="K213" s="71"/>
      <c r="L213" s="46" t="s">
        <v>86</v>
      </c>
      <c r="M213" s="114"/>
    </row>
    <row r="214" spans="1:13" x14ac:dyDescent="0.3">
      <c r="A214" s="340"/>
      <c r="B214" s="287"/>
      <c r="C214" s="287"/>
      <c r="D214" s="287"/>
      <c r="E214" s="287"/>
      <c r="F214" s="16"/>
      <c r="G214" s="16"/>
      <c r="H214" s="16"/>
      <c r="I214" s="16">
        <f t="shared" si="43"/>
        <v>0</v>
      </c>
      <c r="J214" s="340"/>
      <c r="K214" s="71"/>
      <c r="L214" s="16"/>
      <c r="M214" s="114"/>
    </row>
    <row r="215" spans="1:13" x14ac:dyDescent="0.3">
      <c r="A215" s="340"/>
      <c r="B215" s="287"/>
      <c r="C215" s="287"/>
      <c r="D215" s="287"/>
      <c r="E215" s="287"/>
      <c r="F215" s="16"/>
      <c r="G215" s="16"/>
      <c r="H215" s="16"/>
      <c r="I215" s="16">
        <f t="shared" si="43"/>
        <v>0</v>
      </c>
      <c r="J215" s="340"/>
      <c r="K215" s="71"/>
      <c r="L215" s="27"/>
      <c r="M215" s="114"/>
    </row>
    <row r="216" spans="1:13" ht="15" thickBot="1" x14ac:dyDescent="0.35">
      <c r="A216" s="340"/>
      <c r="B216" s="288"/>
      <c r="C216" s="288"/>
      <c r="D216" s="288"/>
      <c r="E216" s="288"/>
      <c r="F216" s="350" t="s">
        <v>17</v>
      </c>
      <c r="G216" s="350"/>
      <c r="H216" s="56">
        <f>SUM(H211:H215)</f>
        <v>600</v>
      </c>
      <c r="I216" s="56">
        <f>SUM(I211:I215)</f>
        <v>600</v>
      </c>
      <c r="J216" s="56"/>
      <c r="K216" s="79">
        <f>J211-I216</f>
        <v>0</v>
      </c>
      <c r="L216" s="56"/>
      <c r="M216" s="114"/>
    </row>
    <row r="217" spans="1:13" ht="15" thickTop="1" x14ac:dyDescent="0.3">
      <c r="A217" s="241">
        <v>36</v>
      </c>
      <c r="B217" s="328" t="s">
        <v>178</v>
      </c>
      <c r="C217" s="286" t="s">
        <v>80</v>
      </c>
      <c r="D217" s="286" t="s">
        <v>124</v>
      </c>
      <c r="E217" s="292" t="s">
        <v>176</v>
      </c>
      <c r="F217" s="16">
        <v>6582</v>
      </c>
      <c r="G217" s="27" t="s">
        <v>170</v>
      </c>
      <c r="H217" s="16">
        <v>600</v>
      </c>
      <c r="I217" s="16">
        <f t="shared" ref="I217:I221" si="44">SUM(H217:H217)</f>
        <v>600</v>
      </c>
      <c r="J217" s="340">
        <v>600</v>
      </c>
      <c r="K217" s="71"/>
      <c r="L217" s="16" t="s">
        <v>177</v>
      </c>
      <c r="M217" s="114"/>
    </row>
    <row r="218" spans="1:13" x14ac:dyDescent="0.3">
      <c r="A218" s="241"/>
      <c r="B218" s="287"/>
      <c r="C218" s="287"/>
      <c r="D218" s="287"/>
      <c r="E218" s="287"/>
      <c r="F218" s="16"/>
      <c r="G218" s="27"/>
      <c r="H218" s="16"/>
      <c r="I218" s="16">
        <f t="shared" si="44"/>
        <v>0</v>
      </c>
      <c r="J218" s="340"/>
      <c r="K218" s="71"/>
      <c r="L218" s="46" t="s">
        <v>85</v>
      </c>
      <c r="M218" s="114"/>
    </row>
    <row r="219" spans="1:13" x14ac:dyDescent="0.3">
      <c r="A219" s="241"/>
      <c r="B219" s="287"/>
      <c r="C219" s="287"/>
      <c r="D219" s="287"/>
      <c r="E219" s="287"/>
      <c r="F219" s="16"/>
      <c r="G219" s="18"/>
      <c r="H219" s="16"/>
      <c r="I219" s="16">
        <f t="shared" si="44"/>
        <v>0</v>
      </c>
      <c r="J219" s="340"/>
      <c r="K219" s="71"/>
      <c r="L219" s="46" t="s">
        <v>86</v>
      </c>
      <c r="M219" s="114"/>
    </row>
    <row r="220" spans="1:13" x14ac:dyDescent="0.3">
      <c r="A220" s="241"/>
      <c r="B220" s="287"/>
      <c r="C220" s="287"/>
      <c r="D220" s="287"/>
      <c r="E220" s="287"/>
      <c r="F220" s="16"/>
      <c r="G220" s="16"/>
      <c r="H220" s="16"/>
      <c r="I220" s="16">
        <f t="shared" si="44"/>
        <v>0</v>
      </c>
      <c r="J220" s="340"/>
      <c r="K220" s="71"/>
      <c r="L220" s="16"/>
      <c r="M220" s="114"/>
    </row>
    <row r="221" spans="1:13" x14ac:dyDescent="0.3">
      <c r="A221" s="241"/>
      <c r="B221" s="287"/>
      <c r="C221" s="287"/>
      <c r="D221" s="287"/>
      <c r="E221" s="287"/>
      <c r="F221" s="16"/>
      <c r="G221" s="16"/>
      <c r="H221" s="16"/>
      <c r="I221" s="16">
        <f t="shared" si="44"/>
        <v>0</v>
      </c>
      <c r="J221" s="340"/>
      <c r="K221" s="71"/>
      <c r="L221" s="27"/>
      <c r="M221" s="114"/>
    </row>
    <row r="222" spans="1:13" ht="15" thickBot="1" x14ac:dyDescent="0.35">
      <c r="A222" s="242"/>
      <c r="B222" s="288"/>
      <c r="C222" s="288"/>
      <c r="D222" s="288"/>
      <c r="E222" s="288"/>
      <c r="F222" s="350" t="s">
        <v>17</v>
      </c>
      <c r="G222" s="350"/>
      <c r="H222" s="56">
        <f>SUM(H217:H221)</f>
        <v>600</v>
      </c>
      <c r="I222" s="56">
        <f>SUM(I217:I221)</f>
        <v>600</v>
      </c>
      <c r="J222" s="56"/>
      <c r="K222" s="79">
        <f>J217-I222</f>
        <v>0</v>
      </c>
      <c r="L222" s="56"/>
      <c r="M222" s="114"/>
    </row>
    <row r="223" spans="1:13" ht="15" thickTop="1" x14ac:dyDescent="0.3">
      <c r="A223" s="340">
        <f t="shared" ref="A223" si="45">1+A217</f>
        <v>37</v>
      </c>
      <c r="B223" s="328" t="s">
        <v>179</v>
      </c>
      <c r="C223" s="286" t="s">
        <v>175</v>
      </c>
      <c r="D223" s="286" t="s">
        <v>124</v>
      </c>
      <c r="E223" s="292" t="s">
        <v>176</v>
      </c>
      <c r="F223" s="16">
        <v>6583</v>
      </c>
      <c r="G223" s="27" t="s">
        <v>170</v>
      </c>
      <c r="H223" s="16">
        <v>600</v>
      </c>
      <c r="I223" s="16">
        <f t="shared" ref="I223:I227" si="46">SUM(H223:H223)</f>
        <v>600</v>
      </c>
      <c r="J223" s="340">
        <v>600</v>
      </c>
      <c r="K223" s="71"/>
      <c r="L223" s="16" t="s">
        <v>177</v>
      </c>
      <c r="M223" s="114"/>
    </row>
    <row r="224" spans="1:13" x14ac:dyDescent="0.3">
      <c r="A224" s="340"/>
      <c r="B224" s="287"/>
      <c r="C224" s="287"/>
      <c r="D224" s="287"/>
      <c r="E224" s="287"/>
      <c r="F224" s="16"/>
      <c r="G224" s="27"/>
      <c r="H224" s="16"/>
      <c r="I224" s="16">
        <f t="shared" si="46"/>
        <v>0</v>
      </c>
      <c r="J224" s="340"/>
      <c r="K224" s="71"/>
      <c r="L224" s="46" t="s">
        <v>85</v>
      </c>
      <c r="M224" s="114"/>
    </row>
    <row r="225" spans="1:13" x14ac:dyDescent="0.3">
      <c r="A225" s="340"/>
      <c r="B225" s="287"/>
      <c r="C225" s="287"/>
      <c r="D225" s="287"/>
      <c r="E225" s="287"/>
      <c r="F225" s="16"/>
      <c r="G225" s="18"/>
      <c r="H225" s="16"/>
      <c r="I225" s="16">
        <f t="shared" si="46"/>
        <v>0</v>
      </c>
      <c r="J225" s="340"/>
      <c r="K225" s="71"/>
      <c r="L225" s="46" t="s">
        <v>86</v>
      </c>
      <c r="M225" s="114"/>
    </row>
    <row r="226" spans="1:13" x14ac:dyDescent="0.3">
      <c r="A226" s="340"/>
      <c r="B226" s="287"/>
      <c r="C226" s="287"/>
      <c r="D226" s="287"/>
      <c r="E226" s="287"/>
      <c r="F226" s="16"/>
      <c r="G226" s="16"/>
      <c r="H226" s="16"/>
      <c r="I226" s="16">
        <f t="shared" si="46"/>
        <v>0</v>
      </c>
      <c r="J226" s="340"/>
      <c r="K226" s="71"/>
      <c r="L226" s="16"/>
      <c r="M226" s="114"/>
    </row>
    <row r="227" spans="1:13" x14ac:dyDescent="0.3">
      <c r="A227" s="340"/>
      <c r="B227" s="287"/>
      <c r="C227" s="287"/>
      <c r="D227" s="287"/>
      <c r="E227" s="287"/>
      <c r="F227" s="16"/>
      <c r="G227" s="16"/>
      <c r="H227" s="16"/>
      <c r="I227" s="16">
        <f t="shared" si="46"/>
        <v>0</v>
      </c>
      <c r="J227" s="340"/>
      <c r="K227" s="71"/>
      <c r="L227" s="27"/>
      <c r="M227" s="114"/>
    </row>
    <row r="228" spans="1:13" ht="15" thickBot="1" x14ac:dyDescent="0.35">
      <c r="A228" s="340"/>
      <c r="B228" s="288"/>
      <c r="C228" s="288"/>
      <c r="D228" s="288"/>
      <c r="E228" s="288"/>
      <c r="F228" s="350" t="s">
        <v>17</v>
      </c>
      <c r="G228" s="350"/>
      <c r="H228" s="56">
        <f>SUM(H223:H227)</f>
        <v>600</v>
      </c>
      <c r="I228" s="56">
        <f>SUM(I223:I227)</f>
        <v>600</v>
      </c>
      <c r="J228" s="56"/>
      <c r="K228" s="79">
        <f>J223-I228</f>
        <v>0</v>
      </c>
      <c r="L228" s="56"/>
      <c r="M228" s="114"/>
    </row>
    <row r="229" spans="1:13" ht="15" thickTop="1" x14ac:dyDescent="0.3">
      <c r="A229" s="241">
        <v>38</v>
      </c>
      <c r="B229" s="328" t="s">
        <v>180</v>
      </c>
      <c r="C229" s="286" t="s">
        <v>181</v>
      </c>
      <c r="D229" s="286" t="s">
        <v>124</v>
      </c>
      <c r="E229" s="292" t="s">
        <v>182</v>
      </c>
      <c r="F229" s="16">
        <v>6584</v>
      </c>
      <c r="G229" s="27" t="s">
        <v>75</v>
      </c>
      <c r="H229" s="16">
        <v>400</v>
      </c>
      <c r="I229" s="16">
        <f t="shared" ref="I229:I233" si="47">SUM(H229:H229)</f>
        <v>400</v>
      </c>
      <c r="J229" s="340">
        <v>400</v>
      </c>
      <c r="K229" s="71"/>
      <c r="L229" s="16" t="s">
        <v>183</v>
      </c>
      <c r="M229" s="114"/>
    </row>
    <row r="230" spans="1:13" x14ac:dyDescent="0.3">
      <c r="A230" s="241"/>
      <c r="B230" s="287"/>
      <c r="C230" s="287"/>
      <c r="D230" s="287"/>
      <c r="E230" s="287"/>
      <c r="F230" s="16"/>
      <c r="G230" s="27"/>
      <c r="H230" s="16"/>
      <c r="I230" s="16">
        <f t="shared" si="47"/>
        <v>0</v>
      </c>
      <c r="J230" s="340"/>
      <c r="K230" s="71"/>
      <c r="L230" s="46" t="s">
        <v>85</v>
      </c>
      <c r="M230" s="114"/>
    </row>
    <row r="231" spans="1:13" x14ac:dyDescent="0.3">
      <c r="A231" s="241"/>
      <c r="B231" s="287"/>
      <c r="C231" s="287"/>
      <c r="D231" s="287"/>
      <c r="E231" s="287"/>
      <c r="F231" s="16"/>
      <c r="G231" s="18"/>
      <c r="H231" s="16"/>
      <c r="I231" s="16">
        <f t="shared" si="47"/>
        <v>0</v>
      </c>
      <c r="J231" s="340"/>
      <c r="K231" s="71"/>
      <c r="L231" s="46" t="s">
        <v>86</v>
      </c>
      <c r="M231" s="114"/>
    </row>
    <row r="232" spans="1:13" x14ac:dyDescent="0.3">
      <c r="A232" s="241"/>
      <c r="B232" s="287"/>
      <c r="C232" s="287"/>
      <c r="D232" s="287"/>
      <c r="E232" s="287"/>
      <c r="F232" s="16"/>
      <c r="G232" s="16"/>
      <c r="H232" s="16"/>
      <c r="I232" s="16">
        <f t="shared" si="47"/>
        <v>0</v>
      </c>
      <c r="J232" s="340"/>
      <c r="K232" s="71"/>
      <c r="L232" s="16"/>
      <c r="M232" s="114"/>
    </row>
    <row r="233" spans="1:13" x14ac:dyDescent="0.3">
      <c r="A233" s="241"/>
      <c r="B233" s="287"/>
      <c r="C233" s="287"/>
      <c r="D233" s="287"/>
      <c r="E233" s="287"/>
      <c r="F233" s="16"/>
      <c r="G233" s="16"/>
      <c r="H233" s="16"/>
      <c r="I233" s="16">
        <f t="shared" si="47"/>
        <v>0</v>
      </c>
      <c r="J233" s="340"/>
      <c r="K233" s="71"/>
      <c r="L233" s="27"/>
      <c r="M233" s="114"/>
    </row>
    <row r="234" spans="1:13" ht="15" thickBot="1" x14ac:dyDescent="0.35">
      <c r="A234" s="242"/>
      <c r="B234" s="288"/>
      <c r="C234" s="288"/>
      <c r="D234" s="288"/>
      <c r="E234" s="288"/>
      <c r="F234" s="350" t="s">
        <v>17</v>
      </c>
      <c r="G234" s="350"/>
      <c r="H234" s="56">
        <f>SUM(H229:H233)</f>
        <v>400</v>
      </c>
      <c r="I234" s="56">
        <f>SUM(I229:I233)</f>
        <v>400</v>
      </c>
      <c r="J234" s="56"/>
      <c r="K234" s="79">
        <f>J229-I234</f>
        <v>0</v>
      </c>
      <c r="L234" s="56"/>
      <c r="M234" s="114"/>
    </row>
    <row r="235" spans="1:13" ht="15" thickTop="1" x14ac:dyDescent="0.3">
      <c r="A235" s="340">
        <f t="shared" ref="A235" si="48">1+A229</f>
        <v>39</v>
      </c>
      <c r="B235" s="328" t="s">
        <v>184</v>
      </c>
      <c r="C235" s="286" t="s">
        <v>185</v>
      </c>
      <c r="D235" s="286" t="s">
        <v>124</v>
      </c>
      <c r="E235" s="292" t="s">
        <v>186</v>
      </c>
      <c r="F235" s="16">
        <v>6585</v>
      </c>
      <c r="G235" s="27" t="s">
        <v>75</v>
      </c>
      <c r="H235" s="16">
        <v>500</v>
      </c>
      <c r="I235" s="16">
        <f t="shared" ref="I235:I239" si="49">SUM(H235:H235)</f>
        <v>500</v>
      </c>
      <c r="J235" s="340">
        <v>500</v>
      </c>
      <c r="K235" s="71"/>
      <c r="L235" s="16" t="s">
        <v>187</v>
      </c>
      <c r="M235" s="114"/>
    </row>
    <row r="236" spans="1:13" x14ac:dyDescent="0.3">
      <c r="A236" s="340"/>
      <c r="B236" s="287"/>
      <c r="C236" s="287"/>
      <c r="D236" s="287"/>
      <c r="E236" s="287"/>
      <c r="F236" s="16"/>
      <c r="G236" s="27"/>
      <c r="H236" s="16"/>
      <c r="I236" s="16">
        <f t="shared" si="49"/>
        <v>0</v>
      </c>
      <c r="J236" s="340"/>
      <c r="K236" s="71"/>
      <c r="L236" s="46" t="s">
        <v>85</v>
      </c>
      <c r="M236" s="114"/>
    </row>
    <row r="237" spans="1:13" x14ac:dyDescent="0.3">
      <c r="A237" s="340"/>
      <c r="B237" s="287"/>
      <c r="C237" s="287"/>
      <c r="D237" s="287"/>
      <c r="E237" s="287"/>
      <c r="F237" s="16"/>
      <c r="G237" s="18"/>
      <c r="H237" s="16"/>
      <c r="I237" s="16">
        <f t="shared" si="49"/>
        <v>0</v>
      </c>
      <c r="J237" s="340"/>
      <c r="K237" s="71"/>
      <c r="L237" s="46" t="s">
        <v>86</v>
      </c>
      <c r="M237" s="114"/>
    </row>
    <row r="238" spans="1:13" x14ac:dyDescent="0.3">
      <c r="A238" s="340"/>
      <c r="B238" s="287"/>
      <c r="C238" s="287"/>
      <c r="D238" s="287"/>
      <c r="E238" s="287"/>
      <c r="F238" s="16"/>
      <c r="G238" s="16"/>
      <c r="H238" s="16"/>
      <c r="I238" s="16">
        <f t="shared" si="49"/>
        <v>0</v>
      </c>
      <c r="J238" s="340"/>
      <c r="K238" s="71"/>
      <c r="L238" s="16"/>
      <c r="M238" s="114"/>
    </row>
    <row r="239" spans="1:13" x14ac:dyDescent="0.3">
      <c r="A239" s="340"/>
      <c r="B239" s="287"/>
      <c r="C239" s="287"/>
      <c r="D239" s="287"/>
      <c r="E239" s="287"/>
      <c r="F239" s="16"/>
      <c r="G239" s="16"/>
      <c r="H239" s="16"/>
      <c r="I239" s="16">
        <f t="shared" si="49"/>
        <v>0</v>
      </c>
      <c r="J239" s="340"/>
      <c r="K239" s="71"/>
      <c r="L239" s="27"/>
      <c r="M239" s="114"/>
    </row>
    <row r="240" spans="1:13" ht="15" thickBot="1" x14ac:dyDescent="0.35">
      <c r="A240" s="340"/>
      <c r="B240" s="288"/>
      <c r="C240" s="288"/>
      <c r="D240" s="288"/>
      <c r="E240" s="288"/>
      <c r="F240" s="350" t="s">
        <v>17</v>
      </c>
      <c r="G240" s="350"/>
      <c r="H240" s="56">
        <f>SUM(H235:H239)</f>
        <v>500</v>
      </c>
      <c r="I240" s="56">
        <f>SUM(I235:I239)</f>
        <v>500</v>
      </c>
      <c r="J240" s="56"/>
      <c r="K240" s="79">
        <f>J235-I240</f>
        <v>0</v>
      </c>
      <c r="L240" s="56"/>
      <c r="M240" s="114"/>
    </row>
    <row r="241" spans="1:13" ht="15" thickTop="1" x14ac:dyDescent="0.3">
      <c r="A241" s="241">
        <v>40</v>
      </c>
      <c r="B241" s="328" t="s">
        <v>188</v>
      </c>
      <c r="C241" s="286" t="s">
        <v>189</v>
      </c>
      <c r="D241" s="286" t="s">
        <v>124</v>
      </c>
      <c r="E241" s="292" t="s">
        <v>182</v>
      </c>
      <c r="F241" s="16">
        <v>6586</v>
      </c>
      <c r="G241" s="27" t="s">
        <v>75</v>
      </c>
      <c r="H241" s="16">
        <v>400</v>
      </c>
      <c r="I241" s="16">
        <f t="shared" ref="I241:I245" si="50">SUM(H241:H241)</f>
        <v>400</v>
      </c>
      <c r="J241" s="340">
        <v>400</v>
      </c>
      <c r="K241" s="71"/>
      <c r="L241" s="16" t="s">
        <v>183</v>
      </c>
      <c r="M241" s="114"/>
    </row>
    <row r="242" spans="1:13" x14ac:dyDescent="0.3">
      <c r="A242" s="241"/>
      <c r="B242" s="287"/>
      <c r="C242" s="287"/>
      <c r="D242" s="287"/>
      <c r="E242" s="287"/>
      <c r="F242" s="16"/>
      <c r="G242" s="27"/>
      <c r="H242" s="16"/>
      <c r="I242" s="16">
        <f t="shared" si="50"/>
        <v>0</v>
      </c>
      <c r="J242" s="340"/>
      <c r="K242" s="71"/>
      <c r="L242" s="46" t="s">
        <v>85</v>
      </c>
      <c r="M242" s="114"/>
    </row>
    <row r="243" spans="1:13" x14ac:dyDescent="0.3">
      <c r="A243" s="241"/>
      <c r="B243" s="287"/>
      <c r="C243" s="287"/>
      <c r="D243" s="287"/>
      <c r="E243" s="287"/>
      <c r="F243" s="16"/>
      <c r="G243" s="18"/>
      <c r="H243" s="16"/>
      <c r="I243" s="16">
        <f t="shared" si="50"/>
        <v>0</v>
      </c>
      <c r="J243" s="340"/>
      <c r="K243" s="71"/>
      <c r="L243" s="46" t="s">
        <v>86</v>
      </c>
      <c r="M243" s="114"/>
    </row>
    <row r="244" spans="1:13" x14ac:dyDescent="0.3">
      <c r="A244" s="241"/>
      <c r="B244" s="287"/>
      <c r="C244" s="287"/>
      <c r="D244" s="287"/>
      <c r="E244" s="287"/>
      <c r="F244" s="16"/>
      <c r="G244" s="16"/>
      <c r="H244" s="16"/>
      <c r="I244" s="16">
        <f t="shared" si="50"/>
        <v>0</v>
      </c>
      <c r="J244" s="340"/>
      <c r="K244" s="71"/>
      <c r="L244" s="16"/>
      <c r="M244" s="114"/>
    </row>
    <row r="245" spans="1:13" x14ac:dyDescent="0.3">
      <c r="A245" s="241"/>
      <c r="B245" s="287"/>
      <c r="C245" s="287"/>
      <c r="D245" s="287"/>
      <c r="E245" s="287"/>
      <c r="F245" s="16"/>
      <c r="G245" s="16"/>
      <c r="H245" s="16"/>
      <c r="I245" s="16">
        <f t="shared" si="50"/>
        <v>0</v>
      </c>
      <c r="J245" s="340"/>
      <c r="K245" s="71"/>
      <c r="L245" s="27"/>
      <c r="M245" s="114"/>
    </row>
    <row r="246" spans="1:13" ht="15" thickBot="1" x14ac:dyDescent="0.35">
      <c r="A246" s="242"/>
      <c r="B246" s="288"/>
      <c r="C246" s="288"/>
      <c r="D246" s="288"/>
      <c r="E246" s="288"/>
      <c r="F246" s="350" t="s">
        <v>17</v>
      </c>
      <c r="G246" s="350"/>
      <c r="H246" s="56">
        <f>SUM(H241:H245)</f>
        <v>400</v>
      </c>
      <c r="I246" s="56">
        <f>SUM(I241:I245)</f>
        <v>400</v>
      </c>
      <c r="J246" s="56"/>
      <c r="K246" s="79">
        <f>J241-I246</f>
        <v>0</v>
      </c>
      <c r="L246" s="56"/>
      <c r="M246" s="114"/>
    </row>
    <row r="247" spans="1:13" ht="16.5" customHeight="1" thickTop="1" x14ac:dyDescent="0.3">
      <c r="A247" s="340">
        <f t="shared" ref="A247" si="51">1+A241</f>
        <v>41</v>
      </c>
      <c r="B247" s="328" t="s">
        <v>190</v>
      </c>
      <c r="C247" s="286" t="s">
        <v>191</v>
      </c>
      <c r="D247" s="286" t="s">
        <v>124</v>
      </c>
      <c r="E247" s="292" t="s">
        <v>182</v>
      </c>
      <c r="F247" s="16">
        <v>6587</v>
      </c>
      <c r="G247" s="27" t="s">
        <v>75</v>
      </c>
      <c r="H247" s="16">
        <v>400</v>
      </c>
      <c r="I247" s="16">
        <f t="shared" ref="I247:I251" si="52">SUM(H247:H247)</f>
        <v>400</v>
      </c>
      <c r="J247" s="340">
        <v>400</v>
      </c>
      <c r="K247" s="71"/>
      <c r="L247" s="16" t="s">
        <v>183</v>
      </c>
      <c r="M247" s="114"/>
    </row>
    <row r="248" spans="1:13" x14ac:dyDescent="0.3">
      <c r="A248" s="340"/>
      <c r="B248" s="287"/>
      <c r="C248" s="287"/>
      <c r="D248" s="287"/>
      <c r="E248" s="287"/>
      <c r="F248" s="16"/>
      <c r="G248" s="27"/>
      <c r="H248" s="16"/>
      <c r="I248" s="16">
        <f t="shared" si="52"/>
        <v>0</v>
      </c>
      <c r="J248" s="340"/>
      <c r="K248" s="71"/>
      <c r="L248" s="46" t="s">
        <v>85</v>
      </c>
      <c r="M248" s="114"/>
    </row>
    <row r="249" spans="1:13" x14ac:dyDescent="0.3">
      <c r="A249" s="340"/>
      <c r="B249" s="287"/>
      <c r="C249" s="287"/>
      <c r="D249" s="287"/>
      <c r="E249" s="287"/>
      <c r="F249" s="16"/>
      <c r="G249" s="18"/>
      <c r="H249" s="16"/>
      <c r="I249" s="16">
        <f t="shared" si="52"/>
        <v>0</v>
      </c>
      <c r="J249" s="340"/>
      <c r="K249" s="71"/>
      <c r="L249" s="46" t="s">
        <v>86</v>
      </c>
      <c r="M249" s="114"/>
    </row>
    <row r="250" spans="1:13" x14ac:dyDescent="0.3">
      <c r="A250" s="340"/>
      <c r="B250" s="287"/>
      <c r="C250" s="287"/>
      <c r="D250" s="287"/>
      <c r="E250" s="287"/>
      <c r="F250" s="16"/>
      <c r="G250" s="16"/>
      <c r="H250" s="16"/>
      <c r="I250" s="16">
        <f t="shared" si="52"/>
        <v>0</v>
      </c>
      <c r="J250" s="340"/>
      <c r="K250" s="71"/>
      <c r="L250" s="16"/>
      <c r="M250" s="114"/>
    </row>
    <row r="251" spans="1:13" x14ac:dyDescent="0.3">
      <c r="A251" s="340"/>
      <c r="B251" s="287"/>
      <c r="C251" s="287"/>
      <c r="D251" s="287"/>
      <c r="E251" s="287"/>
      <c r="F251" s="16"/>
      <c r="G251" s="16"/>
      <c r="H251" s="16"/>
      <c r="I251" s="16">
        <f t="shared" si="52"/>
        <v>0</v>
      </c>
      <c r="J251" s="340"/>
      <c r="K251" s="71"/>
      <c r="L251" s="27"/>
      <c r="M251" s="114"/>
    </row>
    <row r="252" spans="1:13" ht="15" thickBot="1" x14ac:dyDescent="0.35">
      <c r="A252" s="340"/>
      <c r="B252" s="288"/>
      <c r="C252" s="288"/>
      <c r="D252" s="288"/>
      <c r="E252" s="288"/>
      <c r="F252" s="350" t="s">
        <v>17</v>
      </c>
      <c r="G252" s="350"/>
      <c r="H252" s="56">
        <f>SUM(H247:H251)</f>
        <v>400</v>
      </c>
      <c r="I252" s="56">
        <f>SUM(I247:I251)</f>
        <v>400</v>
      </c>
      <c r="J252" s="56"/>
      <c r="K252" s="79">
        <f>J247-I252</f>
        <v>0</v>
      </c>
      <c r="L252" s="56"/>
      <c r="M252" s="114"/>
    </row>
    <row r="253" spans="1:13" ht="15" thickTop="1" x14ac:dyDescent="0.3">
      <c r="A253" s="241">
        <v>42</v>
      </c>
      <c r="B253" s="328" t="s">
        <v>192</v>
      </c>
      <c r="C253" s="286" t="s">
        <v>193</v>
      </c>
      <c r="D253" s="286" t="s">
        <v>124</v>
      </c>
      <c r="E253" s="292" t="s">
        <v>186</v>
      </c>
      <c r="F253" s="16">
        <v>6588</v>
      </c>
      <c r="G253" s="27" t="s">
        <v>75</v>
      </c>
      <c r="H253" s="16">
        <v>500</v>
      </c>
      <c r="I253" s="16">
        <f t="shared" ref="I253:I257" si="53">SUM(H253:H253)</f>
        <v>500</v>
      </c>
      <c r="J253" s="340">
        <v>500</v>
      </c>
      <c r="K253" s="71"/>
      <c r="L253" s="16" t="s">
        <v>187</v>
      </c>
      <c r="M253" s="114"/>
    </row>
    <row r="254" spans="1:13" x14ac:dyDescent="0.3">
      <c r="A254" s="241"/>
      <c r="B254" s="287"/>
      <c r="C254" s="287"/>
      <c r="D254" s="287"/>
      <c r="E254" s="287"/>
      <c r="F254" s="16"/>
      <c r="G254" s="27"/>
      <c r="H254" s="16"/>
      <c r="I254" s="16">
        <f t="shared" si="53"/>
        <v>0</v>
      </c>
      <c r="J254" s="340"/>
      <c r="K254" s="71"/>
      <c r="L254" s="46" t="s">
        <v>85</v>
      </c>
      <c r="M254" s="114"/>
    </row>
    <row r="255" spans="1:13" x14ac:dyDescent="0.3">
      <c r="A255" s="241"/>
      <c r="B255" s="287"/>
      <c r="C255" s="287"/>
      <c r="D255" s="287"/>
      <c r="E255" s="287"/>
      <c r="F255" s="16"/>
      <c r="G255" s="18"/>
      <c r="H255" s="16"/>
      <c r="I255" s="16">
        <f t="shared" si="53"/>
        <v>0</v>
      </c>
      <c r="J255" s="340"/>
      <c r="K255" s="71"/>
      <c r="L255" s="46" t="s">
        <v>86</v>
      </c>
      <c r="M255" s="114"/>
    </row>
    <row r="256" spans="1:13" x14ac:dyDescent="0.3">
      <c r="A256" s="241"/>
      <c r="B256" s="287"/>
      <c r="C256" s="287"/>
      <c r="D256" s="287"/>
      <c r="E256" s="287"/>
      <c r="F256" s="16"/>
      <c r="G256" s="16"/>
      <c r="H256" s="16"/>
      <c r="I256" s="16">
        <f t="shared" si="53"/>
        <v>0</v>
      </c>
      <c r="J256" s="340"/>
      <c r="K256" s="71"/>
      <c r="L256" s="16"/>
      <c r="M256" s="114"/>
    </row>
    <row r="257" spans="1:13" x14ac:dyDescent="0.3">
      <c r="A257" s="241"/>
      <c r="B257" s="287"/>
      <c r="C257" s="287"/>
      <c r="D257" s="287"/>
      <c r="E257" s="287"/>
      <c r="F257" s="16"/>
      <c r="G257" s="16"/>
      <c r="H257" s="16"/>
      <c r="I257" s="16">
        <f t="shared" si="53"/>
        <v>0</v>
      </c>
      <c r="J257" s="340"/>
      <c r="K257" s="71"/>
      <c r="L257" s="27"/>
      <c r="M257" s="114"/>
    </row>
    <row r="258" spans="1:13" ht="15" thickBot="1" x14ac:dyDescent="0.35">
      <c r="A258" s="242"/>
      <c r="B258" s="288"/>
      <c r="C258" s="288"/>
      <c r="D258" s="288"/>
      <c r="E258" s="288"/>
      <c r="F258" s="350" t="s">
        <v>17</v>
      </c>
      <c r="G258" s="350"/>
      <c r="H258" s="56">
        <f>SUM(H253:H257)</f>
        <v>500</v>
      </c>
      <c r="I258" s="56">
        <f>SUM(I253:I257)</f>
        <v>500</v>
      </c>
      <c r="J258" s="56"/>
      <c r="K258" s="79">
        <f>J253-I258</f>
        <v>0</v>
      </c>
      <c r="L258" s="56"/>
      <c r="M258" s="114"/>
    </row>
    <row r="259" spans="1:13" ht="16.5" customHeight="1" thickTop="1" x14ac:dyDescent="0.3">
      <c r="A259" s="340">
        <f t="shared" ref="A259" si="54">1+A253</f>
        <v>43</v>
      </c>
      <c r="B259" s="328" t="s">
        <v>194</v>
      </c>
      <c r="C259" s="286" t="s">
        <v>195</v>
      </c>
      <c r="D259" s="286" t="s">
        <v>124</v>
      </c>
      <c r="E259" s="292" t="s">
        <v>196</v>
      </c>
      <c r="F259" s="16">
        <v>6589</v>
      </c>
      <c r="G259" s="27" t="s">
        <v>75</v>
      </c>
      <c r="H259" s="16">
        <v>200</v>
      </c>
      <c r="I259" s="16">
        <f t="shared" ref="I259:I263" si="55">SUM(H259:H259)</f>
        <v>200</v>
      </c>
      <c r="J259" s="340">
        <v>200</v>
      </c>
      <c r="K259" s="71"/>
      <c r="L259" s="16" t="s">
        <v>138</v>
      </c>
      <c r="M259" s="114"/>
    </row>
    <row r="260" spans="1:13" x14ac:dyDescent="0.3">
      <c r="A260" s="340"/>
      <c r="B260" s="287"/>
      <c r="C260" s="287"/>
      <c r="D260" s="287"/>
      <c r="E260" s="287"/>
      <c r="F260" s="16"/>
      <c r="G260" s="27"/>
      <c r="H260" s="16"/>
      <c r="I260" s="16">
        <f t="shared" si="55"/>
        <v>0</v>
      </c>
      <c r="J260" s="340"/>
      <c r="K260" s="71"/>
      <c r="L260" s="46" t="s">
        <v>85</v>
      </c>
      <c r="M260" s="114"/>
    </row>
    <row r="261" spans="1:13" x14ac:dyDescent="0.3">
      <c r="A261" s="340"/>
      <c r="B261" s="287"/>
      <c r="C261" s="287"/>
      <c r="D261" s="287"/>
      <c r="E261" s="287"/>
      <c r="F261" s="16"/>
      <c r="G261" s="18"/>
      <c r="H261" s="16"/>
      <c r="I261" s="16">
        <f t="shared" si="55"/>
        <v>0</v>
      </c>
      <c r="J261" s="340"/>
      <c r="K261" s="71"/>
      <c r="L261" s="46" t="s">
        <v>86</v>
      </c>
      <c r="M261" s="114"/>
    </row>
    <row r="262" spans="1:13" x14ac:dyDescent="0.3">
      <c r="A262" s="340"/>
      <c r="B262" s="287"/>
      <c r="C262" s="287"/>
      <c r="D262" s="287"/>
      <c r="E262" s="287"/>
      <c r="F262" s="16"/>
      <c r="G262" s="16"/>
      <c r="H262" s="16"/>
      <c r="I262" s="16">
        <f t="shared" si="55"/>
        <v>0</v>
      </c>
      <c r="J262" s="340"/>
      <c r="K262" s="71"/>
      <c r="L262" s="16"/>
      <c r="M262" s="114"/>
    </row>
    <row r="263" spans="1:13" x14ac:dyDescent="0.3">
      <c r="A263" s="340"/>
      <c r="B263" s="287"/>
      <c r="C263" s="287"/>
      <c r="D263" s="287"/>
      <c r="E263" s="287"/>
      <c r="F263" s="16"/>
      <c r="G263" s="16"/>
      <c r="H263" s="16"/>
      <c r="I263" s="16">
        <f t="shared" si="55"/>
        <v>0</v>
      </c>
      <c r="J263" s="340"/>
      <c r="K263" s="71"/>
      <c r="L263" s="27"/>
      <c r="M263" s="114"/>
    </row>
    <row r="264" spans="1:13" ht="15" thickBot="1" x14ac:dyDescent="0.35">
      <c r="A264" s="340"/>
      <c r="B264" s="288"/>
      <c r="C264" s="288"/>
      <c r="D264" s="288"/>
      <c r="E264" s="288"/>
      <c r="F264" s="350" t="s">
        <v>17</v>
      </c>
      <c r="G264" s="350"/>
      <c r="H264" s="56">
        <f>SUM(H259:H263)</f>
        <v>200</v>
      </c>
      <c r="I264" s="56">
        <f>SUM(I259:I263)</f>
        <v>200</v>
      </c>
      <c r="J264" s="56"/>
      <c r="K264" s="79">
        <f>J259-I264</f>
        <v>0</v>
      </c>
      <c r="L264" s="56"/>
      <c r="M264" s="114"/>
    </row>
    <row r="265" spans="1:13" ht="15" thickTop="1" x14ac:dyDescent="0.3">
      <c r="A265" s="241">
        <v>44</v>
      </c>
      <c r="B265" s="328" t="s">
        <v>197</v>
      </c>
      <c r="C265" s="286" t="s">
        <v>193</v>
      </c>
      <c r="D265" s="286" t="s">
        <v>124</v>
      </c>
      <c r="E265" s="292" t="s">
        <v>186</v>
      </c>
      <c r="F265" s="16">
        <v>6591</v>
      </c>
      <c r="G265" s="27" t="s">
        <v>75</v>
      </c>
      <c r="H265" s="16">
        <v>500</v>
      </c>
      <c r="I265" s="16">
        <f t="shared" ref="I265:I269" si="56">SUM(H265:H265)</f>
        <v>500</v>
      </c>
      <c r="J265" s="340">
        <v>500</v>
      </c>
      <c r="K265" s="71"/>
      <c r="L265" s="16" t="s">
        <v>187</v>
      </c>
      <c r="M265" s="114"/>
    </row>
    <row r="266" spans="1:13" x14ac:dyDescent="0.3">
      <c r="A266" s="241"/>
      <c r="B266" s="287"/>
      <c r="C266" s="287"/>
      <c r="D266" s="287"/>
      <c r="E266" s="287"/>
      <c r="F266" s="16"/>
      <c r="G266" s="27"/>
      <c r="H266" s="16"/>
      <c r="I266" s="16">
        <f t="shared" si="56"/>
        <v>0</v>
      </c>
      <c r="J266" s="340"/>
      <c r="K266" s="71"/>
      <c r="L266" s="46" t="s">
        <v>85</v>
      </c>
      <c r="M266" s="114"/>
    </row>
    <row r="267" spans="1:13" x14ac:dyDescent="0.3">
      <c r="A267" s="241"/>
      <c r="B267" s="287"/>
      <c r="C267" s="287"/>
      <c r="D267" s="287"/>
      <c r="E267" s="287"/>
      <c r="F267" s="16"/>
      <c r="G267" s="18"/>
      <c r="H267" s="16"/>
      <c r="I267" s="16">
        <f t="shared" si="56"/>
        <v>0</v>
      </c>
      <c r="J267" s="340"/>
      <c r="K267" s="71"/>
      <c r="L267" s="46" t="s">
        <v>86</v>
      </c>
      <c r="M267" s="114"/>
    </row>
    <row r="268" spans="1:13" x14ac:dyDescent="0.3">
      <c r="A268" s="241"/>
      <c r="B268" s="287"/>
      <c r="C268" s="287"/>
      <c r="D268" s="287"/>
      <c r="E268" s="287"/>
      <c r="F268" s="16"/>
      <c r="G268" s="16"/>
      <c r="H268" s="16"/>
      <c r="I268" s="16">
        <f t="shared" si="56"/>
        <v>0</v>
      </c>
      <c r="J268" s="340"/>
      <c r="K268" s="71"/>
      <c r="L268" s="16"/>
      <c r="M268" s="114"/>
    </row>
    <row r="269" spans="1:13" x14ac:dyDescent="0.3">
      <c r="A269" s="241"/>
      <c r="B269" s="287"/>
      <c r="C269" s="287"/>
      <c r="D269" s="287"/>
      <c r="E269" s="287"/>
      <c r="F269" s="16"/>
      <c r="G269" s="16"/>
      <c r="H269" s="16"/>
      <c r="I269" s="16">
        <f t="shared" si="56"/>
        <v>0</v>
      </c>
      <c r="J269" s="340"/>
      <c r="K269" s="71"/>
      <c r="L269" s="27"/>
      <c r="M269" s="114"/>
    </row>
    <row r="270" spans="1:13" ht="15" thickBot="1" x14ac:dyDescent="0.35">
      <c r="A270" s="242"/>
      <c r="B270" s="288"/>
      <c r="C270" s="288"/>
      <c r="D270" s="288"/>
      <c r="E270" s="288"/>
      <c r="F270" s="350" t="s">
        <v>17</v>
      </c>
      <c r="G270" s="350"/>
      <c r="H270" s="56">
        <f>SUM(H265:H269)</f>
        <v>500</v>
      </c>
      <c r="I270" s="56">
        <f>SUM(I265:I269)</f>
        <v>500</v>
      </c>
      <c r="J270" s="56"/>
      <c r="K270" s="79">
        <f>J265-I270</f>
        <v>0</v>
      </c>
      <c r="L270" s="56"/>
      <c r="M270" s="114"/>
    </row>
    <row r="271" spans="1:13" ht="15" thickTop="1" x14ac:dyDescent="0.3">
      <c r="A271" s="340">
        <f t="shared" ref="A271" si="57">1+A265</f>
        <v>45</v>
      </c>
      <c r="B271" s="328" t="s">
        <v>198</v>
      </c>
      <c r="C271" s="286" t="s">
        <v>51</v>
      </c>
      <c r="D271" s="286" t="s">
        <v>124</v>
      </c>
      <c r="E271" s="292" t="s">
        <v>182</v>
      </c>
      <c r="F271" s="16">
        <v>6592</v>
      </c>
      <c r="G271" s="27" t="s">
        <v>75</v>
      </c>
      <c r="H271" s="16">
        <v>400</v>
      </c>
      <c r="I271" s="16">
        <f t="shared" ref="I271:I275" si="58">SUM(H271:H271)</f>
        <v>400</v>
      </c>
      <c r="J271" s="340">
        <v>400</v>
      </c>
      <c r="K271" s="71"/>
      <c r="L271" s="16" t="s">
        <v>183</v>
      </c>
      <c r="M271" s="114"/>
    </row>
    <row r="272" spans="1:13" x14ac:dyDescent="0.3">
      <c r="A272" s="340"/>
      <c r="B272" s="287"/>
      <c r="C272" s="287"/>
      <c r="D272" s="287"/>
      <c r="E272" s="287"/>
      <c r="F272" s="16"/>
      <c r="G272" s="27"/>
      <c r="H272" s="16"/>
      <c r="I272" s="16">
        <f t="shared" si="58"/>
        <v>0</v>
      </c>
      <c r="J272" s="340"/>
      <c r="K272" s="71"/>
      <c r="L272" s="46" t="s">
        <v>85</v>
      </c>
      <c r="M272" s="114"/>
    </row>
    <row r="273" spans="1:13" x14ac:dyDescent="0.3">
      <c r="A273" s="340"/>
      <c r="B273" s="287"/>
      <c r="C273" s="287"/>
      <c r="D273" s="287"/>
      <c r="E273" s="287"/>
      <c r="F273" s="16"/>
      <c r="G273" s="18"/>
      <c r="H273" s="16"/>
      <c r="I273" s="16">
        <f t="shared" si="58"/>
        <v>0</v>
      </c>
      <c r="J273" s="340"/>
      <c r="K273" s="71"/>
      <c r="L273" s="46" t="s">
        <v>86</v>
      </c>
      <c r="M273" s="114"/>
    </row>
    <row r="274" spans="1:13" x14ac:dyDescent="0.3">
      <c r="A274" s="340"/>
      <c r="B274" s="287"/>
      <c r="C274" s="287"/>
      <c r="D274" s="287"/>
      <c r="E274" s="287"/>
      <c r="F274" s="16"/>
      <c r="G274" s="16"/>
      <c r="H274" s="16"/>
      <c r="I274" s="16">
        <f t="shared" si="58"/>
        <v>0</v>
      </c>
      <c r="J274" s="340"/>
      <c r="K274" s="71"/>
      <c r="L274" s="16"/>
      <c r="M274" s="114"/>
    </row>
    <row r="275" spans="1:13" x14ac:dyDescent="0.3">
      <c r="A275" s="340"/>
      <c r="B275" s="287"/>
      <c r="C275" s="287"/>
      <c r="D275" s="287"/>
      <c r="E275" s="287"/>
      <c r="F275" s="16"/>
      <c r="G275" s="16"/>
      <c r="H275" s="16"/>
      <c r="I275" s="16">
        <f t="shared" si="58"/>
        <v>0</v>
      </c>
      <c r="J275" s="340"/>
      <c r="K275" s="71"/>
      <c r="L275" s="27"/>
      <c r="M275" s="114"/>
    </row>
    <row r="276" spans="1:13" ht="15" thickBot="1" x14ac:dyDescent="0.35">
      <c r="A276" s="340"/>
      <c r="B276" s="288"/>
      <c r="C276" s="288"/>
      <c r="D276" s="288"/>
      <c r="E276" s="288"/>
      <c r="F276" s="350" t="s">
        <v>17</v>
      </c>
      <c r="G276" s="350"/>
      <c r="H276" s="56">
        <f>SUM(H271:H275)</f>
        <v>400</v>
      </c>
      <c r="I276" s="56">
        <f>SUM(I271:I275)</f>
        <v>400</v>
      </c>
      <c r="J276" s="56"/>
      <c r="K276" s="79">
        <f>J271-I276</f>
        <v>0</v>
      </c>
      <c r="L276" s="56"/>
      <c r="M276" s="114"/>
    </row>
    <row r="277" spans="1:13" ht="15" thickTop="1" x14ac:dyDescent="0.3">
      <c r="A277" s="241">
        <v>46</v>
      </c>
      <c r="B277" s="328" t="s">
        <v>199</v>
      </c>
      <c r="C277" s="286" t="s">
        <v>175</v>
      </c>
      <c r="D277" s="286" t="s">
        <v>124</v>
      </c>
      <c r="E277" s="292" t="s">
        <v>182</v>
      </c>
      <c r="F277" s="16">
        <v>6593</v>
      </c>
      <c r="G277" s="27" t="s">
        <v>75</v>
      </c>
      <c r="H277" s="16">
        <v>400</v>
      </c>
      <c r="I277" s="16">
        <f t="shared" ref="I277:I281" si="59">SUM(H277:H277)</f>
        <v>400</v>
      </c>
      <c r="J277" s="340">
        <v>400</v>
      </c>
      <c r="K277" s="71"/>
      <c r="L277" s="16" t="s">
        <v>183</v>
      </c>
      <c r="M277" s="114"/>
    </row>
    <row r="278" spans="1:13" x14ac:dyDescent="0.3">
      <c r="A278" s="241"/>
      <c r="B278" s="287"/>
      <c r="C278" s="287"/>
      <c r="D278" s="287"/>
      <c r="E278" s="287"/>
      <c r="F278" s="16"/>
      <c r="G278" s="27"/>
      <c r="H278" s="16"/>
      <c r="I278" s="16">
        <f t="shared" si="59"/>
        <v>0</v>
      </c>
      <c r="J278" s="340"/>
      <c r="K278" s="71"/>
      <c r="L278" s="46" t="s">
        <v>85</v>
      </c>
      <c r="M278" s="114"/>
    </row>
    <row r="279" spans="1:13" x14ac:dyDescent="0.3">
      <c r="A279" s="241"/>
      <c r="B279" s="287"/>
      <c r="C279" s="287"/>
      <c r="D279" s="287"/>
      <c r="E279" s="287"/>
      <c r="F279" s="16"/>
      <c r="G279" s="18"/>
      <c r="H279" s="16"/>
      <c r="I279" s="16">
        <f t="shared" si="59"/>
        <v>0</v>
      </c>
      <c r="J279" s="340"/>
      <c r="K279" s="71"/>
      <c r="L279" s="46" t="s">
        <v>86</v>
      </c>
      <c r="M279" s="114"/>
    </row>
    <row r="280" spans="1:13" x14ac:dyDescent="0.3">
      <c r="A280" s="241"/>
      <c r="B280" s="287"/>
      <c r="C280" s="287"/>
      <c r="D280" s="287"/>
      <c r="E280" s="287"/>
      <c r="F280" s="16"/>
      <c r="G280" s="16"/>
      <c r="H280" s="16"/>
      <c r="I280" s="16">
        <f t="shared" si="59"/>
        <v>0</v>
      </c>
      <c r="J280" s="340"/>
      <c r="K280" s="71"/>
      <c r="L280" s="16"/>
      <c r="M280" s="114"/>
    </row>
    <row r="281" spans="1:13" x14ac:dyDescent="0.3">
      <c r="A281" s="241"/>
      <c r="B281" s="287"/>
      <c r="C281" s="287"/>
      <c r="D281" s="287"/>
      <c r="E281" s="287"/>
      <c r="F281" s="16"/>
      <c r="G281" s="16"/>
      <c r="H281" s="16"/>
      <c r="I281" s="16">
        <f t="shared" si="59"/>
        <v>0</v>
      </c>
      <c r="J281" s="340"/>
      <c r="K281" s="71"/>
      <c r="L281" s="27"/>
      <c r="M281" s="114"/>
    </row>
    <row r="282" spans="1:13" ht="15" thickBot="1" x14ac:dyDescent="0.35">
      <c r="A282" s="242"/>
      <c r="B282" s="288"/>
      <c r="C282" s="288"/>
      <c r="D282" s="288"/>
      <c r="E282" s="288"/>
      <c r="F282" s="350" t="s">
        <v>17</v>
      </c>
      <c r="G282" s="350"/>
      <c r="H282" s="56">
        <f>SUM(H277:H281)</f>
        <v>400</v>
      </c>
      <c r="I282" s="56">
        <f>SUM(I277:I281)</f>
        <v>400</v>
      </c>
      <c r="J282" s="56"/>
      <c r="K282" s="79">
        <f>J277-I282</f>
        <v>0</v>
      </c>
      <c r="L282" s="56"/>
      <c r="M282" s="114"/>
    </row>
    <row r="283" spans="1:13" ht="15" thickTop="1" x14ac:dyDescent="0.3">
      <c r="A283" s="340">
        <f t="shared" ref="A283" si="60">1+A277</f>
        <v>47</v>
      </c>
      <c r="B283" s="328" t="s">
        <v>200</v>
      </c>
      <c r="C283" s="286" t="s">
        <v>175</v>
      </c>
      <c r="D283" s="286" t="s">
        <v>124</v>
      </c>
      <c r="E283" s="292" t="s">
        <v>182</v>
      </c>
      <c r="F283" s="16">
        <v>6594</v>
      </c>
      <c r="G283" s="27" t="s">
        <v>75</v>
      </c>
      <c r="H283" s="16">
        <v>400</v>
      </c>
      <c r="I283" s="16">
        <f t="shared" ref="I283:I287" si="61">SUM(H283:H283)</f>
        <v>400</v>
      </c>
      <c r="J283" s="340">
        <v>400</v>
      </c>
      <c r="K283" s="71"/>
      <c r="L283" s="16" t="s">
        <v>183</v>
      </c>
      <c r="M283" s="114"/>
    </row>
    <row r="284" spans="1:13" x14ac:dyDescent="0.3">
      <c r="A284" s="340"/>
      <c r="B284" s="287"/>
      <c r="C284" s="287"/>
      <c r="D284" s="287"/>
      <c r="E284" s="287"/>
      <c r="F284" s="16"/>
      <c r="G284" s="27"/>
      <c r="H284" s="16"/>
      <c r="I284" s="16">
        <f t="shared" si="61"/>
        <v>0</v>
      </c>
      <c r="J284" s="340"/>
      <c r="K284" s="71"/>
      <c r="L284" s="46" t="s">
        <v>85</v>
      </c>
      <c r="M284" s="114"/>
    </row>
    <row r="285" spans="1:13" x14ac:dyDescent="0.3">
      <c r="A285" s="340"/>
      <c r="B285" s="287"/>
      <c r="C285" s="287"/>
      <c r="D285" s="287"/>
      <c r="E285" s="287"/>
      <c r="F285" s="16"/>
      <c r="G285" s="18"/>
      <c r="H285" s="16"/>
      <c r="I285" s="16">
        <f t="shared" si="61"/>
        <v>0</v>
      </c>
      <c r="J285" s="340"/>
      <c r="K285" s="71"/>
      <c r="L285" s="46" t="s">
        <v>86</v>
      </c>
      <c r="M285" s="114"/>
    </row>
    <row r="286" spans="1:13" x14ac:dyDescent="0.3">
      <c r="A286" s="340"/>
      <c r="B286" s="287"/>
      <c r="C286" s="287"/>
      <c r="D286" s="287"/>
      <c r="E286" s="287"/>
      <c r="F286" s="16"/>
      <c r="G286" s="16"/>
      <c r="H286" s="16"/>
      <c r="I286" s="16">
        <f t="shared" si="61"/>
        <v>0</v>
      </c>
      <c r="J286" s="340"/>
      <c r="K286" s="71"/>
      <c r="L286" s="16"/>
      <c r="M286" s="114"/>
    </row>
    <row r="287" spans="1:13" x14ac:dyDescent="0.3">
      <c r="A287" s="340"/>
      <c r="B287" s="287"/>
      <c r="C287" s="287"/>
      <c r="D287" s="287"/>
      <c r="E287" s="287"/>
      <c r="F287" s="16"/>
      <c r="G287" s="16"/>
      <c r="H287" s="16"/>
      <c r="I287" s="16">
        <f t="shared" si="61"/>
        <v>0</v>
      </c>
      <c r="J287" s="340"/>
      <c r="K287" s="71"/>
      <c r="L287" s="27"/>
      <c r="M287" s="114"/>
    </row>
    <row r="288" spans="1:13" ht="15" thickBot="1" x14ac:dyDescent="0.35">
      <c r="A288" s="340"/>
      <c r="B288" s="288"/>
      <c r="C288" s="288"/>
      <c r="D288" s="288"/>
      <c r="E288" s="288"/>
      <c r="F288" s="350" t="s">
        <v>17</v>
      </c>
      <c r="G288" s="350"/>
      <c r="H288" s="56">
        <f>SUM(H283:H287)</f>
        <v>400</v>
      </c>
      <c r="I288" s="56">
        <f>SUM(I283:I287)</f>
        <v>400</v>
      </c>
      <c r="J288" s="56"/>
      <c r="K288" s="79">
        <f>J283-I288</f>
        <v>0</v>
      </c>
      <c r="L288" s="56"/>
      <c r="M288" s="114"/>
    </row>
    <row r="289" spans="1:13" ht="16.5" customHeight="1" thickTop="1" x14ac:dyDescent="0.3">
      <c r="A289" s="241">
        <v>48</v>
      </c>
      <c r="B289" s="328" t="s">
        <v>201</v>
      </c>
      <c r="C289" s="286" t="s">
        <v>202</v>
      </c>
      <c r="D289" s="286" t="s">
        <v>124</v>
      </c>
      <c r="E289" s="292" t="s">
        <v>203</v>
      </c>
      <c r="F289" s="16">
        <v>6595</v>
      </c>
      <c r="G289" s="27" t="s">
        <v>75</v>
      </c>
      <c r="H289" s="16">
        <v>100</v>
      </c>
      <c r="I289" s="16">
        <f t="shared" ref="I289:I293" si="62">SUM(H289:H289)</f>
        <v>100</v>
      </c>
      <c r="J289" s="340">
        <v>100</v>
      </c>
      <c r="K289" s="71"/>
      <c r="L289" s="16" t="s">
        <v>134</v>
      </c>
      <c r="M289" s="114"/>
    </row>
    <row r="290" spans="1:13" x14ac:dyDescent="0.3">
      <c r="A290" s="241"/>
      <c r="B290" s="287"/>
      <c r="C290" s="287"/>
      <c r="D290" s="287"/>
      <c r="E290" s="287"/>
      <c r="F290" s="16"/>
      <c r="G290" s="27"/>
      <c r="H290" s="16"/>
      <c r="I290" s="16">
        <f t="shared" si="62"/>
        <v>0</v>
      </c>
      <c r="J290" s="340"/>
      <c r="K290" s="71"/>
      <c r="L290" s="46" t="s">
        <v>85</v>
      </c>
      <c r="M290" s="114"/>
    </row>
    <row r="291" spans="1:13" x14ac:dyDescent="0.3">
      <c r="A291" s="241"/>
      <c r="B291" s="287"/>
      <c r="C291" s="287"/>
      <c r="D291" s="287"/>
      <c r="E291" s="287"/>
      <c r="F291" s="16"/>
      <c r="G291" s="18"/>
      <c r="H291" s="16"/>
      <c r="I291" s="16">
        <f t="shared" si="62"/>
        <v>0</v>
      </c>
      <c r="J291" s="340"/>
      <c r="K291" s="71"/>
      <c r="L291" s="46" t="s">
        <v>86</v>
      </c>
      <c r="M291" s="114"/>
    </row>
    <row r="292" spans="1:13" x14ac:dyDescent="0.3">
      <c r="A292" s="241"/>
      <c r="B292" s="287"/>
      <c r="C292" s="287"/>
      <c r="D292" s="287"/>
      <c r="E292" s="287"/>
      <c r="F292" s="16"/>
      <c r="G292" s="16"/>
      <c r="H292" s="16"/>
      <c r="I292" s="16">
        <f t="shared" si="62"/>
        <v>0</v>
      </c>
      <c r="J292" s="340"/>
      <c r="K292" s="71"/>
      <c r="L292" s="16"/>
      <c r="M292" s="114"/>
    </row>
    <row r="293" spans="1:13" x14ac:dyDescent="0.3">
      <c r="A293" s="241"/>
      <c r="B293" s="287"/>
      <c r="C293" s="287"/>
      <c r="D293" s="287"/>
      <c r="E293" s="287"/>
      <c r="F293" s="16"/>
      <c r="G293" s="16"/>
      <c r="H293" s="16"/>
      <c r="I293" s="16">
        <f t="shared" si="62"/>
        <v>0</v>
      </c>
      <c r="J293" s="340"/>
      <c r="K293" s="71"/>
      <c r="L293" s="27"/>
      <c r="M293" s="114"/>
    </row>
    <row r="294" spans="1:13" ht="15" thickBot="1" x14ac:dyDescent="0.35">
      <c r="A294" s="242"/>
      <c r="B294" s="288"/>
      <c r="C294" s="288"/>
      <c r="D294" s="288"/>
      <c r="E294" s="288"/>
      <c r="F294" s="350" t="s">
        <v>17</v>
      </c>
      <c r="G294" s="350"/>
      <c r="H294" s="56">
        <f>SUM(H289:H293)</f>
        <v>100</v>
      </c>
      <c r="I294" s="56">
        <f>SUM(I289:I293)</f>
        <v>100</v>
      </c>
      <c r="J294" s="56"/>
      <c r="K294" s="79">
        <f>J289-I294</f>
        <v>0</v>
      </c>
      <c r="L294" s="56"/>
      <c r="M294" s="114"/>
    </row>
    <row r="295" spans="1:13" ht="15" thickTop="1" x14ac:dyDescent="0.3">
      <c r="A295" s="340">
        <f t="shared" ref="A295" si="63">1+A289</f>
        <v>49</v>
      </c>
      <c r="B295" s="328" t="s">
        <v>204</v>
      </c>
      <c r="C295" s="286" t="s">
        <v>205</v>
      </c>
      <c r="D295" s="286" t="s">
        <v>124</v>
      </c>
      <c r="E295" s="292" t="s">
        <v>182</v>
      </c>
      <c r="F295" s="16">
        <v>6596</v>
      </c>
      <c r="G295" s="27" t="s">
        <v>75</v>
      </c>
      <c r="H295" s="16">
        <v>400</v>
      </c>
      <c r="I295" s="16">
        <f t="shared" ref="I295:I299" si="64">SUM(H295:H295)</f>
        <v>400</v>
      </c>
      <c r="J295" s="340">
        <v>400</v>
      </c>
      <c r="K295" s="71"/>
      <c r="L295" s="16" t="s">
        <v>183</v>
      </c>
      <c r="M295" s="114"/>
    </row>
    <row r="296" spans="1:13" x14ac:dyDescent="0.3">
      <c r="A296" s="340"/>
      <c r="B296" s="287"/>
      <c r="C296" s="287"/>
      <c r="D296" s="287"/>
      <c r="E296" s="287"/>
      <c r="F296" s="16"/>
      <c r="G296" s="27"/>
      <c r="H296" s="16"/>
      <c r="I296" s="16">
        <f t="shared" si="64"/>
        <v>0</v>
      </c>
      <c r="J296" s="340"/>
      <c r="K296" s="71"/>
      <c r="L296" s="46" t="s">
        <v>85</v>
      </c>
      <c r="M296" s="114"/>
    </row>
    <row r="297" spans="1:13" x14ac:dyDescent="0.3">
      <c r="A297" s="340"/>
      <c r="B297" s="287"/>
      <c r="C297" s="287"/>
      <c r="D297" s="287"/>
      <c r="E297" s="287"/>
      <c r="F297" s="16"/>
      <c r="G297" s="18"/>
      <c r="H297" s="16"/>
      <c r="I297" s="16">
        <f t="shared" si="64"/>
        <v>0</v>
      </c>
      <c r="J297" s="340"/>
      <c r="K297" s="71"/>
      <c r="L297" s="46" t="s">
        <v>86</v>
      </c>
      <c r="M297" s="114"/>
    </row>
    <row r="298" spans="1:13" x14ac:dyDescent="0.3">
      <c r="A298" s="340"/>
      <c r="B298" s="287"/>
      <c r="C298" s="287"/>
      <c r="D298" s="287"/>
      <c r="E298" s="287"/>
      <c r="F298" s="16"/>
      <c r="G298" s="16"/>
      <c r="H298" s="16"/>
      <c r="I298" s="16">
        <f t="shared" si="64"/>
        <v>0</v>
      </c>
      <c r="J298" s="340"/>
      <c r="K298" s="71"/>
      <c r="L298" s="16"/>
      <c r="M298" s="114"/>
    </row>
    <row r="299" spans="1:13" x14ac:dyDescent="0.3">
      <c r="A299" s="340"/>
      <c r="B299" s="287"/>
      <c r="C299" s="287"/>
      <c r="D299" s="287"/>
      <c r="E299" s="287"/>
      <c r="F299" s="16"/>
      <c r="G299" s="16"/>
      <c r="H299" s="16"/>
      <c r="I299" s="16">
        <f t="shared" si="64"/>
        <v>0</v>
      </c>
      <c r="J299" s="340"/>
      <c r="K299" s="71"/>
      <c r="L299" s="27"/>
      <c r="M299" s="114"/>
    </row>
    <row r="300" spans="1:13" ht="15" thickBot="1" x14ac:dyDescent="0.35">
      <c r="A300" s="340"/>
      <c r="B300" s="288"/>
      <c r="C300" s="288"/>
      <c r="D300" s="288"/>
      <c r="E300" s="288"/>
      <c r="F300" s="350" t="s">
        <v>17</v>
      </c>
      <c r="G300" s="350"/>
      <c r="H300" s="56">
        <f>SUM(H295:H299)</f>
        <v>400</v>
      </c>
      <c r="I300" s="56">
        <f>SUM(I295:I299)</f>
        <v>400</v>
      </c>
      <c r="J300" s="56"/>
      <c r="K300" s="79">
        <f>J295-I300</f>
        <v>0</v>
      </c>
      <c r="L300" s="56"/>
      <c r="M300" s="114"/>
    </row>
    <row r="301" spans="1:13" ht="15" thickTop="1" x14ac:dyDescent="0.3">
      <c r="A301" s="241">
        <v>50</v>
      </c>
      <c r="B301" s="328" t="s">
        <v>206</v>
      </c>
      <c r="C301" s="286" t="s">
        <v>207</v>
      </c>
      <c r="D301" s="286" t="s">
        <v>124</v>
      </c>
      <c r="E301" s="292" t="s">
        <v>208</v>
      </c>
      <c r="F301" s="16">
        <v>6597</v>
      </c>
      <c r="G301" s="27" t="s">
        <v>75</v>
      </c>
      <c r="H301" s="16">
        <v>700</v>
      </c>
      <c r="I301" s="16">
        <f t="shared" ref="I301:I305" si="65">SUM(H301:H301)</f>
        <v>700</v>
      </c>
      <c r="J301" s="340">
        <v>700</v>
      </c>
      <c r="K301" s="71"/>
      <c r="L301" s="16" t="s">
        <v>209</v>
      </c>
      <c r="M301" s="114"/>
    </row>
    <row r="302" spans="1:13" x14ac:dyDescent="0.3">
      <c r="A302" s="241"/>
      <c r="B302" s="287"/>
      <c r="C302" s="287"/>
      <c r="D302" s="287"/>
      <c r="E302" s="287"/>
      <c r="F302" s="16"/>
      <c r="G302" s="27"/>
      <c r="H302" s="16"/>
      <c r="I302" s="16">
        <f t="shared" si="65"/>
        <v>0</v>
      </c>
      <c r="J302" s="340"/>
      <c r="K302" s="71"/>
      <c r="L302" s="46" t="s">
        <v>85</v>
      </c>
      <c r="M302" s="114"/>
    </row>
    <row r="303" spans="1:13" x14ac:dyDescent="0.3">
      <c r="A303" s="241"/>
      <c r="B303" s="287"/>
      <c r="C303" s="287"/>
      <c r="D303" s="287"/>
      <c r="E303" s="287"/>
      <c r="F303" s="16"/>
      <c r="G303" s="18"/>
      <c r="H303" s="16"/>
      <c r="I303" s="16">
        <f t="shared" si="65"/>
        <v>0</v>
      </c>
      <c r="J303" s="340"/>
      <c r="K303" s="71"/>
      <c r="L303" s="46" t="s">
        <v>86</v>
      </c>
      <c r="M303" s="114"/>
    </row>
    <row r="304" spans="1:13" x14ac:dyDescent="0.3">
      <c r="A304" s="241"/>
      <c r="B304" s="287"/>
      <c r="C304" s="287"/>
      <c r="D304" s="287"/>
      <c r="E304" s="287"/>
      <c r="F304" s="16"/>
      <c r="G304" s="16"/>
      <c r="H304" s="16"/>
      <c r="I304" s="16">
        <f t="shared" si="65"/>
        <v>0</v>
      </c>
      <c r="J304" s="340"/>
      <c r="K304" s="71"/>
      <c r="L304" s="16"/>
      <c r="M304" s="114"/>
    </row>
    <row r="305" spans="1:13" x14ac:dyDescent="0.3">
      <c r="A305" s="241"/>
      <c r="B305" s="287"/>
      <c r="C305" s="287"/>
      <c r="D305" s="287"/>
      <c r="E305" s="287"/>
      <c r="F305" s="16"/>
      <c r="G305" s="16"/>
      <c r="H305" s="16"/>
      <c r="I305" s="16">
        <f t="shared" si="65"/>
        <v>0</v>
      </c>
      <c r="J305" s="340"/>
      <c r="K305" s="71"/>
      <c r="L305" s="27"/>
      <c r="M305" s="114"/>
    </row>
    <row r="306" spans="1:13" ht="15" thickBot="1" x14ac:dyDescent="0.35">
      <c r="A306" s="242"/>
      <c r="B306" s="288"/>
      <c r="C306" s="288"/>
      <c r="D306" s="288"/>
      <c r="E306" s="288"/>
      <c r="F306" s="350" t="s">
        <v>17</v>
      </c>
      <c r="G306" s="350"/>
      <c r="H306" s="56">
        <f>SUM(H301:H305)</f>
        <v>700</v>
      </c>
      <c r="I306" s="56">
        <f>SUM(I301:I305)</f>
        <v>700</v>
      </c>
      <c r="J306" s="56"/>
      <c r="K306" s="79">
        <f>J301-I306</f>
        <v>0</v>
      </c>
      <c r="L306" s="56"/>
      <c r="M306" s="114"/>
    </row>
    <row r="307" spans="1:13" ht="16.5" customHeight="1" thickTop="1" x14ac:dyDescent="0.3">
      <c r="A307" s="340">
        <f t="shared" ref="A307" si="66">1+A301</f>
        <v>51</v>
      </c>
      <c r="B307" s="328" t="s">
        <v>210</v>
      </c>
      <c r="C307" s="286" t="s">
        <v>207</v>
      </c>
      <c r="D307" s="286" t="s">
        <v>124</v>
      </c>
      <c r="E307" s="292" t="s">
        <v>208</v>
      </c>
      <c r="F307" s="16">
        <v>6598</v>
      </c>
      <c r="G307" s="27" t="s">
        <v>75</v>
      </c>
      <c r="H307" s="16">
        <v>700</v>
      </c>
      <c r="I307" s="16">
        <f t="shared" ref="I307:I311" si="67">SUM(H307:H307)</f>
        <v>700</v>
      </c>
      <c r="J307" s="340">
        <v>700</v>
      </c>
      <c r="K307" s="71"/>
      <c r="L307" s="16" t="s">
        <v>209</v>
      </c>
      <c r="M307" s="114"/>
    </row>
    <row r="308" spans="1:13" x14ac:dyDescent="0.3">
      <c r="A308" s="340"/>
      <c r="B308" s="287"/>
      <c r="C308" s="287"/>
      <c r="D308" s="287"/>
      <c r="E308" s="287"/>
      <c r="F308" s="16"/>
      <c r="G308" s="27"/>
      <c r="H308" s="16"/>
      <c r="I308" s="16">
        <f t="shared" si="67"/>
        <v>0</v>
      </c>
      <c r="J308" s="340"/>
      <c r="K308" s="71"/>
      <c r="L308" s="46" t="s">
        <v>85</v>
      </c>
      <c r="M308" s="114"/>
    </row>
    <row r="309" spans="1:13" x14ac:dyDescent="0.3">
      <c r="A309" s="340"/>
      <c r="B309" s="287"/>
      <c r="C309" s="287"/>
      <c r="D309" s="287"/>
      <c r="E309" s="287"/>
      <c r="F309" s="16"/>
      <c r="G309" s="18"/>
      <c r="H309" s="16"/>
      <c r="I309" s="16">
        <f t="shared" si="67"/>
        <v>0</v>
      </c>
      <c r="J309" s="340"/>
      <c r="K309" s="71"/>
      <c r="L309" s="46" t="s">
        <v>86</v>
      </c>
      <c r="M309" s="114"/>
    </row>
    <row r="310" spans="1:13" x14ac:dyDescent="0.3">
      <c r="A310" s="340"/>
      <c r="B310" s="287"/>
      <c r="C310" s="287"/>
      <c r="D310" s="287"/>
      <c r="E310" s="287"/>
      <c r="F310" s="16"/>
      <c r="G310" s="16"/>
      <c r="H310" s="16"/>
      <c r="I310" s="16">
        <f t="shared" si="67"/>
        <v>0</v>
      </c>
      <c r="J310" s="340"/>
      <c r="K310" s="71"/>
      <c r="L310" s="16"/>
      <c r="M310" s="114"/>
    </row>
    <row r="311" spans="1:13" x14ac:dyDescent="0.3">
      <c r="A311" s="340"/>
      <c r="B311" s="287"/>
      <c r="C311" s="287"/>
      <c r="D311" s="287"/>
      <c r="E311" s="287"/>
      <c r="F311" s="16"/>
      <c r="G311" s="16"/>
      <c r="H311" s="16"/>
      <c r="I311" s="16">
        <f t="shared" si="67"/>
        <v>0</v>
      </c>
      <c r="J311" s="340"/>
      <c r="K311" s="71"/>
      <c r="L311" s="27"/>
      <c r="M311" s="114"/>
    </row>
    <row r="312" spans="1:13" ht="15" thickBot="1" x14ac:dyDescent="0.35">
      <c r="A312" s="340"/>
      <c r="B312" s="288"/>
      <c r="C312" s="288"/>
      <c r="D312" s="288"/>
      <c r="E312" s="288"/>
      <c r="F312" s="350" t="s">
        <v>17</v>
      </c>
      <c r="G312" s="350"/>
      <c r="H312" s="56">
        <f>SUM(H307:H311)</f>
        <v>700</v>
      </c>
      <c r="I312" s="56">
        <f>SUM(I307:I311)</f>
        <v>700</v>
      </c>
      <c r="J312" s="56"/>
      <c r="K312" s="79">
        <f>J307-I312</f>
        <v>0</v>
      </c>
      <c r="L312" s="56"/>
      <c r="M312" s="114"/>
    </row>
    <row r="313" spans="1:13" ht="15" thickTop="1" x14ac:dyDescent="0.3">
      <c r="A313" s="241">
        <v>52</v>
      </c>
      <c r="B313" s="328" t="s">
        <v>211</v>
      </c>
      <c r="C313" s="286" t="s">
        <v>102</v>
      </c>
      <c r="D313" s="286" t="s">
        <v>124</v>
      </c>
      <c r="E313" s="292" t="s">
        <v>75</v>
      </c>
      <c r="F313" s="16">
        <v>6599</v>
      </c>
      <c r="G313" s="27" t="s">
        <v>75</v>
      </c>
      <c r="H313" s="16">
        <v>100</v>
      </c>
      <c r="I313" s="16">
        <f t="shared" ref="I313:I317" si="68">SUM(H313:H313)</f>
        <v>100</v>
      </c>
      <c r="J313" s="340">
        <v>100</v>
      </c>
      <c r="K313" s="71"/>
      <c r="L313" s="16" t="s">
        <v>134</v>
      </c>
      <c r="M313" s="114"/>
    </row>
    <row r="314" spans="1:13" x14ac:dyDescent="0.3">
      <c r="A314" s="241"/>
      <c r="B314" s="287"/>
      <c r="C314" s="287"/>
      <c r="D314" s="287"/>
      <c r="E314" s="287"/>
      <c r="F314" s="16"/>
      <c r="G314" s="27"/>
      <c r="H314" s="16"/>
      <c r="I314" s="16">
        <f t="shared" si="68"/>
        <v>0</v>
      </c>
      <c r="J314" s="340"/>
      <c r="K314" s="71"/>
      <c r="L314" s="46" t="s">
        <v>85</v>
      </c>
      <c r="M314" s="114"/>
    </row>
    <row r="315" spans="1:13" x14ac:dyDescent="0.3">
      <c r="A315" s="241"/>
      <c r="B315" s="287"/>
      <c r="C315" s="287"/>
      <c r="D315" s="287"/>
      <c r="E315" s="287"/>
      <c r="F315" s="16"/>
      <c r="G315" s="18"/>
      <c r="H315" s="16"/>
      <c r="I315" s="16">
        <f t="shared" si="68"/>
        <v>0</v>
      </c>
      <c r="J315" s="340"/>
      <c r="K315" s="71"/>
      <c r="L315" s="46" t="s">
        <v>86</v>
      </c>
      <c r="M315" s="114"/>
    </row>
    <row r="316" spans="1:13" x14ac:dyDescent="0.3">
      <c r="A316" s="241"/>
      <c r="B316" s="287"/>
      <c r="C316" s="287"/>
      <c r="D316" s="287"/>
      <c r="E316" s="287"/>
      <c r="F316" s="16"/>
      <c r="G316" s="16"/>
      <c r="H316" s="16"/>
      <c r="I316" s="16">
        <f t="shared" si="68"/>
        <v>0</v>
      </c>
      <c r="J316" s="340"/>
      <c r="K316" s="71"/>
      <c r="L316" s="16"/>
      <c r="M316" s="114"/>
    </row>
    <row r="317" spans="1:13" x14ac:dyDescent="0.3">
      <c r="A317" s="241"/>
      <c r="B317" s="287"/>
      <c r="C317" s="287"/>
      <c r="D317" s="287"/>
      <c r="E317" s="287"/>
      <c r="F317" s="16"/>
      <c r="G317" s="16"/>
      <c r="H317" s="16"/>
      <c r="I317" s="16">
        <f t="shared" si="68"/>
        <v>0</v>
      </c>
      <c r="J317" s="340"/>
      <c r="K317" s="71"/>
      <c r="L317" s="27"/>
      <c r="M317" s="114"/>
    </row>
    <row r="318" spans="1:13" ht="15" thickBot="1" x14ac:dyDescent="0.35">
      <c r="A318" s="242"/>
      <c r="B318" s="288"/>
      <c r="C318" s="288"/>
      <c r="D318" s="288"/>
      <c r="E318" s="288"/>
      <c r="F318" s="350" t="s">
        <v>17</v>
      </c>
      <c r="G318" s="350"/>
      <c r="H318" s="56">
        <f>SUM(H313:H317)</f>
        <v>100</v>
      </c>
      <c r="I318" s="56">
        <f>SUM(I313:I317)</f>
        <v>100</v>
      </c>
      <c r="J318" s="56"/>
      <c r="K318" s="79">
        <f>J313-I318</f>
        <v>0</v>
      </c>
      <c r="L318" s="56"/>
      <c r="M318" s="114"/>
    </row>
    <row r="319" spans="1:13" ht="15" thickTop="1" x14ac:dyDescent="0.3">
      <c r="A319" s="340">
        <f t="shared" ref="A319" si="69">1+A313</f>
        <v>53</v>
      </c>
      <c r="B319" s="328" t="s">
        <v>212</v>
      </c>
      <c r="C319" s="286" t="s">
        <v>195</v>
      </c>
      <c r="D319" s="286" t="s">
        <v>124</v>
      </c>
      <c r="E319" s="292" t="s">
        <v>213</v>
      </c>
      <c r="F319" s="16">
        <v>6600</v>
      </c>
      <c r="G319" s="27" t="s">
        <v>75</v>
      </c>
      <c r="H319" s="16">
        <v>200</v>
      </c>
      <c r="I319" s="16">
        <f t="shared" ref="I319:I323" si="70">SUM(H319:H319)</f>
        <v>200</v>
      </c>
      <c r="J319" s="340">
        <v>200</v>
      </c>
      <c r="K319" s="71"/>
      <c r="L319" s="16" t="s">
        <v>138</v>
      </c>
      <c r="M319" s="114"/>
    </row>
    <row r="320" spans="1:13" x14ac:dyDescent="0.3">
      <c r="A320" s="340"/>
      <c r="B320" s="287"/>
      <c r="C320" s="287"/>
      <c r="D320" s="287"/>
      <c r="E320" s="287"/>
      <c r="F320" s="16"/>
      <c r="G320" s="27"/>
      <c r="H320" s="16"/>
      <c r="I320" s="16">
        <f t="shared" si="70"/>
        <v>0</v>
      </c>
      <c r="J320" s="340"/>
      <c r="K320" s="71"/>
      <c r="L320" s="46" t="s">
        <v>85</v>
      </c>
      <c r="M320" s="114"/>
    </row>
    <row r="321" spans="1:13" x14ac:dyDescent="0.3">
      <c r="A321" s="340"/>
      <c r="B321" s="287"/>
      <c r="C321" s="287"/>
      <c r="D321" s="287"/>
      <c r="E321" s="287"/>
      <c r="F321" s="16"/>
      <c r="G321" s="18"/>
      <c r="H321" s="16"/>
      <c r="I321" s="16">
        <f t="shared" si="70"/>
        <v>0</v>
      </c>
      <c r="J321" s="340"/>
      <c r="K321" s="71"/>
      <c r="L321" s="46" t="s">
        <v>86</v>
      </c>
      <c r="M321" s="114"/>
    </row>
    <row r="322" spans="1:13" x14ac:dyDescent="0.3">
      <c r="A322" s="340"/>
      <c r="B322" s="287"/>
      <c r="C322" s="287"/>
      <c r="D322" s="287"/>
      <c r="E322" s="287"/>
      <c r="F322" s="16"/>
      <c r="G322" s="16"/>
      <c r="H322" s="16"/>
      <c r="I322" s="16">
        <f t="shared" si="70"/>
        <v>0</v>
      </c>
      <c r="J322" s="340"/>
      <c r="K322" s="71"/>
      <c r="L322" s="16"/>
      <c r="M322" s="114"/>
    </row>
    <row r="323" spans="1:13" x14ac:dyDescent="0.3">
      <c r="A323" s="340"/>
      <c r="B323" s="287"/>
      <c r="C323" s="287"/>
      <c r="D323" s="287"/>
      <c r="E323" s="287"/>
      <c r="F323" s="16"/>
      <c r="G323" s="16"/>
      <c r="H323" s="16"/>
      <c r="I323" s="16">
        <f t="shared" si="70"/>
        <v>0</v>
      </c>
      <c r="J323" s="340"/>
      <c r="K323" s="71"/>
      <c r="L323" s="27"/>
      <c r="M323" s="114"/>
    </row>
    <row r="324" spans="1:13" ht="15" thickBot="1" x14ac:dyDescent="0.35">
      <c r="A324" s="340"/>
      <c r="B324" s="288"/>
      <c r="C324" s="288"/>
      <c r="D324" s="288"/>
      <c r="E324" s="288"/>
      <c r="F324" s="350" t="s">
        <v>17</v>
      </c>
      <c r="G324" s="350"/>
      <c r="H324" s="56">
        <f>SUM(H319:H323)</f>
        <v>200</v>
      </c>
      <c r="I324" s="56">
        <f>SUM(I319:I323)</f>
        <v>200</v>
      </c>
      <c r="J324" s="56"/>
      <c r="K324" s="79">
        <f>J319-I324</f>
        <v>0</v>
      </c>
      <c r="L324" s="56"/>
      <c r="M324" s="114"/>
    </row>
    <row r="325" spans="1:13" ht="15" thickTop="1" x14ac:dyDescent="0.3">
      <c r="A325" s="241">
        <v>54</v>
      </c>
      <c r="B325" s="328" t="s">
        <v>214</v>
      </c>
      <c r="C325" s="286" t="s">
        <v>207</v>
      </c>
      <c r="D325" s="286" t="s">
        <v>124</v>
      </c>
      <c r="E325" s="292" t="s">
        <v>215</v>
      </c>
      <c r="F325" s="16">
        <v>6701</v>
      </c>
      <c r="G325" s="27" t="s">
        <v>75</v>
      </c>
      <c r="H325" s="16">
        <v>600</v>
      </c>
      <c r="I325" s="16">
        <f t="shared" ref="I325:I329" si="71">SUM(H325:H325)</f>
        <v>600</v>
      </c>
      <c r="J325" s="340">
        <v>600</v>
      </c>
      <c r="K325" s="71"/>
      <c r="L325" s="16" t="s">
        <v>177</v>
      </c>
      <c r="M325" s="114"/>
    </row>
    <row r="326" spans="1:13" x14ac:dyDescent="0.3">
      <c r="A326" s="241"/>
      <c r="B326" s="287"/>
      <c r="C326" s="287"/>
      <c r="D326" s="287"/>
      <c r="E326" s="287"/>
      <c r="F326" s="16"/>
      <c r="G326" s="27"/>
      <c r="H326" s="16"/>
      <c r="I326" s="16">
        <f t="shared" si="71"/>
        <v>0</v>
      </c>
      <c r="J326" s="340"/>
      <c r="K326" s="71"/>
      <c r="L326" s="46" t="s">
        <v>85</v>
      </c>
      <c r="M326" s="114"/>
    </row>
    <row r="327" spans="1:13" x14ac:dyDescent="0.3">
      <c r="A327" s="241"/>
      <c r="B327" s="287"/>
      <c r="C327" s="287"/>
      <c r="D327" s="287"/>
      <c r="E327" s="287"/>
      <c r="F327" s="16"/>
      <c r="G327" s="18"/>
      <c r="H327" s="16"/>
      <c r="I327" s="16">
        <f t="shared" si="71"/>
        <v>0</v>
      </c>
      <c r="J327" s="340"/>
      <c r="K327" s="71"/>
      <c r="L327" s="46" t="s">
        <v>86</v>
      </c>
      <c r="M327" s="114"/>
    </row>
    <row r="328" spans="1:13" x14ac:dyDescent="0.3">
      <c r="A328" s="241"/>
      <c r="B328" s="287"/>
      <c r="C328" s="287"/>
      <c r="D328" s="287"/>
      <c r="E328" s="287"/>
      <c r="F328" s="16"/>
      <c r="G328" s="16"/>
      <c r="H328" s="16"/>
      <c r="I328" s="16">
        <f t="shared" si="71"/>
        <v>0</v>
      </c>
      <c r="J328" s="340"/>
      <c r="K328" s="71"/>
      <c r="L328" s="16"/>
      <c r="M328" s="114"/>
    </row>
    <row r="329" spans="1:13" x14ac:dyDescent="0.3">
      <c r="A329" s="241"/>
      <c r="B329" s="287"/>
      <c r="C329" s="287"/>
      <c r="D329" s="287"/>
      <c r="E329" s="287"/>
      <c r="F329" s="16"/>
      <c r="G329" s="16"/>
      <c r="H329" s="16"/>
      <c r="I329" s="16">
        <f t="shared" si="71"/>
        <v>0</v>
      </c>
      <c r="J329" s="340"/>
      <c r="K329" s="71"/>
      <c r="L329" s="27"/>
      <c r="M329" s="114"/>
    </row>
    <row r="330" spans="1:13" ht="15" thickBot="1" x14ac:dyDescent="0.35">
      <c r="A330" s="242"/>
      <c r="B330" s="288"/>
      <c r="C330" s="288"/>
      <c r="D330" s="288"/>
      <c r="E330" s="288"/>
      <c r="F330" s="350" t="s">
        <v>17</v>
      </c>
      <c r="G330" s="350"/>
      <c r="H330" s="56">
        <f>SUM(H325:H329)</f>
        <v>600</v>
      </c>
      <c r="I330" s="56">
        <f>SUM(I325:I329)</f>
        <v>600</v>
      </c>
      <c r="J330" s="56"/>
      <c r="K330" s="79">
        <f>J325-I330</f>
        <v>0</v>
      </c>
      <c r="L330" s="56"/>
      <c r="M330" s="114"/>
    </row>
    <row r="331" spans="1:13" ht="15" thickTop="1" x14ac:dyDescent="0.3">
      <c r="A331" s="340">
        <f t="shared" ref="A331" si="72">1+A325</f>
        <v>55</v>
      </c>
      <c r="B331" s="328" t="s">
        <v>216</v>
      </c>
      <c r="C331" s="286" t="s">
        <v>217</v>
      </c>
      <c r="D331" s="286" t="s">
        <v>124</v>
      </c>
      <c r="E331" s="292" t="s">
        <v>218</v>
      </c>
      <c r="F331" s="16">
        <v>6702</v>
      </c>
      <c r="G331" s="27" t="s">
        <v>75</v>
      </c>
      <c r="H331" s="16">
        <v>500</v>
      </c>
      <c r="I331" s="16">
        <f t="shared" ref="I331:I335" si="73">SUM(H331:H331)</f>
        <v>500</v>
      </c>
      <c r="J331" s="340">
        <v>500</v>
      </c>
      <c r="K331" s="71"/>
      <c r="L331" s="16" t="s">
        <v>187</v>
      </c>
      <c r="M331" s="114"/>
    </row>
    <row r="332" spans="1:13" x14ac:dyDescent="0.3">
      <c r="A332" s="340"/>
      <c r="B332" s="287"/>
      <c r="C332" s="287"/>
      <c r="D332" s="287"/>
      <c r="E332" s="287"/>
      <c r="F332" s="16"/>
      <c r="G332" s="27"/>
      <c r="H332" s="16"/>
      <c r="I332" s="16">
        <f t="shared" si="73"/>
        <v>0</v>
      </c>
      <c r="J332" s="340"/>
      <c r="K332" s="71"/>
      <c r="L332" s="46" t="s">
        <v>85</v>
      </c>
      <c r="M332" s="114"/>
    </row>
    <row r="333" spans="1:13" x14ac:dyDescent="0.3">
      <c r="A333" s="340"/>
      <c r="B333" s="287"/>
      <c r="C333" s="287"/>
      <c r="D333" s="287"/>
      <c r="E333" s="287"/>
      <c r="F333" s="16"/>
      <c r="G333" s="18"/>
      <c r="H333" s="16"/>
      <c r="I333" s="16">
        <f t="shared" si="73"/>
        <v>0</v>
      </c>
      <c r="J333" s="340"/>
      <c r="K333" s="71"/>
      <c r="L333" s="46" t="s">
        <v>86</v>
      </c>
      <c r="M333" s="114"/>
    </row>
    <row r="334" spans="1:13" x14ac:dyDescent="0.3">
      <c r="A334" s="340"/>
      <c r="B334" s="287"/>
      <c r="C334" s="287"/>
      <c r="D334" s="287"/>
      <c r="E334" s="287"/>
      <c r="F334" s="16"/>
      <c r="G334" s="16"/>
      <c r="H334" s="16"/>
      <c r="I334" s="16">
        <f t="shared" si="73"/>
        <v>0</v>
      </c>
      <c r="J334" s="340"/>
      <c r="K334" s="71"/>
      <c r="L334" s="16"/>
      <c r="M334" s="114"/>
    </row>
    <row r="335" spans="1:13" x14ac:dyDescent="0.3">
      <c r="A335" s="340"/>
      <c r="B335" s="287"/>
      <c r="C335" s="287"/>
      <c r="D335" s="287"/>
      <c r="E335" s="287"/>
      <c r="F335" s="16"/>
      <c r="G335" s="16"/>
      <c r="H335" s="16"/>
      <c r="I335" s="16">
        <f t="shared" si="73"/>
        <v>0</v>
      </c>
      <c r="J335" s="340"/>
      <c r="K335" s="71"/>
      <c r="L335" s="27"/>
      <c r="M335" s="114"/>
    </row>
    <row r="336" spans="1:13" ht="15" thickBot="1" x14ac:dyDescent="0.35">
      <c r="A336" s="340"/>
      <c r="B336" s="288"/>
      <c r="C336" s="288"/>
      <c r="D336" s="288"/>
      <c r="E336" s="288"/>
      <c r="F336" s="350" t="s">
        <v>17</v>
      </c>
      <c r="G336" s="350"/>
      <c r="H336" s="56">
        <f>SUM(H331:H335)</f>
        <v>500</v>
      </c>
      <c r="I336" s="56">
        <f>SUM(I331:I335)</f>
        <v>500</v>
      </c>
      <c r="J336" s="56"/>
      <c r="K336" s="79">
        <f>J331-I336</f>
        <v>0</v>
      </c>
      <c r="L336" s="56"/>
      <c r="M336" s="114"/>
    </row>
    <row r="337" spans="1:13" ht="15" thickTop="1" x14ac:dyDescent="0.3">
      <c r="A337" s="241">
        <v>56</v>
      </c>
      <c r="B337" s="328" t="s">
        <v>219</v>
      </c>
      <c r="C337" s="286" t="s">
        <v>220</v>
      </c>
      <c r="D337" s="286" t="s">
        <v>124</v>
      </c>
      <c r="E337" s="292" t="s">
        <v>218</v>
      </c>
      <c r="F337" s="16">
        <v>6703</v>
      </c>
      <c r="G337" s="27" t="s">
        <v>75</v>
      </c>
      <c r="H337" s="16">
        <v>500</v>
      </c>
      <c r="I337" s="16">
        <f t="shared" ref="I337:I341" si="74">SUM(H337:H337)</f>
        <v>500</v>
      </c>
      <c r="J337" s="340">
        <v>500</v>
      </c>
      <c r="K337" s="71"/>
      <c r="L337" s="16" t="s">
        <v>187</v>
      </c>
      <c r="M337" s="114"/>
    </row>
    <row r="338" spans="1:13" x14ac:dyDescent="0.3">
      <c r="A338" s="241"/>
      <c r="B338" s="287"/>
      <c r="C338" s="287"/>
      <c r="D338" s="287"/>
      <c r="E338" s="287"/>
      <c r="F338" s="16"/>
      <c r="G338" s="27"/>
      <c r="H338" s="16"/>
      <c r="I338" s="16">
        <f t="shared" si="74"/>
        <v>0</v>
      </c>
      <c r="J338" s="340"/>
      <c r="K338" s="71"/>
      <c r="L338" s="46" t="s">
        <v>85</v>
      </c>
      <c r="M338" s="114"/>
    </row>
    <row r="339" spans="1:13" x14ac:dyDescent="0.3">
      <c r="A339" s="241"/>
      <c r="B339" s="287"/>
      <c r="C339" s="287"/>
      <c r="D339" s="287"/>
      <c r="E339" s="287"/>
      <c r="F339" s="16"/>
      <c r="G339" s="18"/>
      <c r="H339" s="16"/>
      <c r="I339" s="16">
        <f t="shared" si="74"/>
        <v>0</v>
      </c>
      <c r="J339" s="340"/>
      <c r="K339" s="71"/>
      <c r="L339" s="46" t="s">
        <v>86</v>
      </c>
      <c r="M339" s="114"/>
    </row>
    <row r="340" spans="1:13" x14ac:dyDescent="0.3">
      <c r="A340" s="241"/>
      <c r="B340" s="287"/>
      <c r="C340" s="287"/>
      <c r="D340" s="287"/>
      <c r="E340" s="287"/>
      <c r="F340" s="16"/>
      <c r="G340" s="16"/>
      <c r="H340" s="16"/>
      <c r="I340" s="16">
        <f t="shared" si="74"/>
        <v>0</v>
      </c>
      <c r="J340" s="340"/>
      <c r="K340" s="71"/>
      <c r="L340" s="16"/>
      <c r="M340" s="114"/>
    </row>
    <row r="341" spans="1:13" x14ac:dyDescent="0.3">
      <c r="A341" s="241"/>
      <c r="B341" s="287"/>
      <c r="C341" s="287"/>
      <c r="D341" s="287"/>
      <c r="E341" s="287"/>
      <c r="F341" s="16"/>
      <c r="G341" s="16"/>
      <c r="H341" s="16"/>
      <c r="I341" s="16">
        <f t="shared" si="74"/>
        <v>0</v>
      </c>
      <c r="J341" s="340"/>
      <c r="K341" s="71"/>
      <c r="L341" s="27"/>
      <c r="M341" s="114"/>
    </row>
    <row r="342" spans="1:13" ht="15" thickBot="1" x14ac:dyDescent="0.35">
      <c r="A342" s="242"/>
      <c r="B342" s="288"/>
      <c r="C342" s="288"/>
      <c r="D342" s="288"/>
      <c r="E342" s="288"/>
      <c r="F342" s="350" t="s">
        <v>17</v>
      </c>
      <c r="G342" s="350"/>
      <c r="H342" s="56">
        <f>SUM(H337:H341)</f>
        <v>500</v>
      </c>
      <c r="I342" s="56">
        <f>SUM(I337:I341)</f>
        <v>500</v>
      </c>
      <c r="J342" s="56"/>
      <c r="K342" s="79">
        <f>J337-I342</f>
        <v>0</v>
      </c>
      <c r="L342" s="56"/>
      <c r="M342" s="114"/>
    </row>
    <row r="343" spans="1:13" ht="16.5" customHeight="1" thickTop="1" x14ac:dyDescent="0.3">
      <c r="A343" s="340">
        <f t="shared" ref="A343" si="75">1+A337</f>
        <v>57</v>
      </c>
      <c r="B343" s="328" t="s">
        <v>221</v>
      </c>
      <c r="C343" s="286" t="s">
        <v>220</v>
      </c>
      <c r="D343" s="286" t="s">
        <v>124</v>
      </c>
      <c r="E343" s="292" t="s">
        <v>218</v>
      </c>
      <c r="F343" s="16">
        <v>6704</v>
      </c>
      <c r="G343" s="27" t="s">
        <v>75</v>
      </c>
      <c r="H343" s="16">
        <v>500</v>
      </c>
      <c r="I343" s="16">
        <f t="shared" ref="I343:I347" si="76">SUM(H343:H343)</f>
        <v>500</v>
      </c>
      <c r="J343" s="340">
        <v>500</v>
      </c>
      <c r="K343" s="71"/>
      <c r="L343" s="16" t="s">
        <v>187</v>
      </c>
      <c r="M343" s="114"/>
    </row>
    <row r="344" spans="1:13" x14ac:dyDescent="0.3">
      <c r="A344" s="340"/>
      <c r="B344" s="287"/>
      <c r="C344" s="287"/>
      <c r="D344" s="287"/>
      <c r="E344" s="287"/>
      <c r="F344" s="16"/>
      <c r="G344" s="27"/>
      <c r="H344" s="16"/>
      <c r="I344" s="16">
        <f t="shared" si="76"/>
        <v>0</v>
      </c>
      <c r="J344" s="340"/>
      <c r="K344" s="71"/>
      <c r="L344" s="46" t="s">
        <v>85</v>
      </c>
      <c r="M344" s="114"/>
    </row>
    <row r="345" spans="1:13" x14ac:dyDescent="0.3">
      <c r="A345" s="340"/>
      <c r="B345" s="287"/>
      <c r="C345" s="287"/>
      <c r="D345" s="287"/>
      <c r="E345" s="287"/>
      <c r="F345" s="16"/>
      <c r="G345" s="18"/>
      <c r="H345" s="16"/>
      <c r="I345" s="16">
        <f t="shared" si="76"/>
        <v>0</v>
      </c>
      <c r="J345" s="340"/>
      <c r="K345" s="71"/>
      <c r="L345" s="46" t="s">
        <v>86</v>
      </c>
      <c r="M345" s="114"/>
    </row>
    <row r="346" spans="1:13" x14ac:dyDescent="0.3">
      <c r="A346" s="340"/>
      <c r="B346" s="287"/>
      <c r="C346" s="287"/>
      <c r="D346" s="287"/>
      <c r="E346" s="287"/>
      <c r="F346" s="16"/>
      <c r="G346" s="16"/>
      <c r="H346" s="16"/>
      <c r="I346" s="16">
        <f t="shared" si="76"/>
        <v>0</v>
      </c>
      <c r="J346" s="340"/>
      <c r="K346" s="71"/>
      <c r="L346" s="16"/>
      <c r="M346" s="114"/>
    </row>
    <row r="347" spans="1:13" x14ac:dyDescent="0.3">
      <c r="A347" s="340"/>
      <c r="B347" s="287"/>
      <c r="C347" s="287"/>
      <c r="D347" s="287"/>
      <c r="E347" s="287"/>
      <c r="F347" s="16"/>
      <c r="G347" s="16"/>
      <c r="H347" s="16"/>
      <c r="I347" s="16">
        <f t="shared" si="76"/>
        <v>0</v>
      </c>
      <c r="J347" s="340"/>
      <c r="K347" s="71"/>
      <c r="L347" s="27"/>
      <c r="M347" s="114"/>
    </row>
    <row r="348" spans="1:13" ht="15" thickBot="1" x14ac:dyDescent="0.35">
      <c r="A348" s="340"/>
      <c r="B348" s="288"/>
      <c r="C348" s="288"/>
      <c r="D348" s="288"/>
      <c r="E348" s="288"/>
      <c r="F348" s="350" t="s">
        <v>17</v>
      </c>
      <c r="G348" s="350"/>
      <c r="H348" s="56">
        <f>SUM(H343:H347)</f>
        <v>500</v>
      </c>
      <c r="I348" s="56">
        <f>SUM(I343:I347)</f>
        <v>500</v>
      </c>
      <c r="J348" s="56"/>
      <c r="K348" s="79">
        <f>J343-I348</f>
        <v>0</v>
      </c>
      <c r="L348" s="56"/>
      <c r="M348" s="114"/>
    </row>
    <row r="349" spans="1:13" ht="15" thickTop="1" x14ac:dyDescent="0.3">
      <c r="A349" s="241">
        <v>58</v>
      </c>
      <c r="B349" s="328" t="s">
        <v>222</v>
      </c>
      <c r="C349" s="286" t="s">
        <v>104</v>
      </c>
      <c r="D349" s="286" t="s">
        <v>124</v>
      </c>
      <c r="E349" s="292" t="s">
        <v>218</v>
      </c>
      <c r="F349" s="16">
        <v>6705</v>
      </c>
      <c r="G349" s="27" t="s">
        <v>75</v>
      </c>
      <c r="H349" s="16">
        <v>500</v>
      </c>
      <c r="I349" s="16">
        <f t="shared" ref="I349:I353" si="77">SUM(H349:H349)</f>
        <v>500</v>
      </c>
      <c r="J349" s="340">
        <v>500</v>
      </c>
      <c r="K349" s="71"/>
      <c r="L349" s="16" t="s">
        <v>187</v>
      </c>
      <c r="M349" s="114"/>
    </row>
    <row r="350" spans="1:13" x14ac:dyDescent="0.3">
      <c r="A350" s="241"/>
      <c r="B350" s="287"/>
      <c r="C350" s="287"/>
      <c r="D350" s="287"/>
      <c r="E350" s="287"/>
      <c r="F350" s="16"/>
      <c r="G350" s="27"/>
      <c r="H350" s="16"/>
      <c r="I350" s="16">
        <f t="shared" si="77"/>
        <v>0</v>
      </c>
      <c r="J350" s="340"/>
      <c r="K350" s="71"/>
      <c r="L350" s="46" t="s">
        <v>85</v>
      </c>
      <c r="M350" s="114"/>
    </row>
    <row r="351" spans="1:13" x14ac:dyDescent="0.3">
      <c r="A351" s="241"/>
      <c r="B351" s="287"/>
      <c r="C351" s="287"/>
      <c r="D351" s="287"/>
      <c r="E351" s="287"/>
      <c r="F351" s="16"/>
      <c r="G351" s="18"/>
      <c r="H351" s="16"/>
      <c r="I351" s="16">
        <f t="shared" si="77"/>
        <v>0</v>
      </c>
      <c r="J351" s="340"/>
      <c r="K351" s="71"/>
      <c r="L351" s="46" t="s">
        <v>86</v>
      </c>
      <c r="M351" s="114"/>
    </row>
    <row r="352" spans="1:13" x14ac:dyDescent="0.3">
      <c r="A352" s="241"/>
      <c r="B352" s="287"/>
      <c r="C352" s="287"/>
      <c r="D352" s="287"/>
      <c r="E352" s="287"/>
      <c r="F352" s="16"/>
      <c r="G352" s="16"/>
      <c r="H352" s="16"/>
      <c r="I352" s="16">
        <f t="shared" si="77"/>
        <v>0</v>
      </c>
      <c r="J352" s="340"/>
      <c r="K352" s="71"/>
      <c r="L352" s="16"/>
      <c r="M352" s="114"/>
    </row>
    <row r="353" spans="1:13" x14ac:dyDescent="0.3">
      <c r="A353" s="241"/>
      <c r="B353" s="287"/>
      <c r="C353" s="287"/>
      <c r="D353" s="287"/>
      <c r="E353" s="287"/>
      <c r="F353" s="16"/>
      <c r="G353" s="16"/>
      <c r="H353" s="16"/>
      <c r="I353" s="16">
        <f t="shared" si="77"/>
        <v>0</v>
      </c>
      <c r="J353" s="340"/>
      <c r="K353" s="71"/>
      <c r="L353" s="27"/>
      <c r="M353" s="114"/>
    </row>
    <row r="354" spans="1:13" ht="15" thickBot="1" x14ac:dyDescent="0.35">
      <c r="A354" s="242"/>
      <c r="B354" s="288"/>
      <c r="C354" s="288"/>
      <c r="D354" s="288"/>
      <c r="E354" s="288"/>
      <c r="F354" s="350" t="s">
        <v>17</v>
      </c>
      <c r="G354" s="350"/>
      <c r="H354" s="56">
        <f>SUM(H349:H353)</f>
        <v>500</v>
      </c>
      <c r="I354" s="56">
        <f>SUM(I349:I353)</f>
        <v>500</v>
      </c>
      <c r="J354" s="56"/>
      <c r="K354" s="79">
        <f>J349-I354</f>
        <v>0</v>
      </c>
      <c r="L354" s="56"/>
      <c r="M354" s="114"/>
    </row>
    <row r="355" spans="1:13" ht="15" thickTop="1" x14ac:dyDescent="0.3">
      <c r="A355" s="340">
        <f t="shared" ref="A355" si="78">1+A349</f>
        <v>59</v>
      </c>
      <c r="B355" s="328" t="s">
        <v>223</v>
      </c>
      <c r="C355" s="286" t="s">
        <v>207</v>
      </c>
      <c r="D355" s="286" t="s">
        <v>124</v>
      </c>
      <c r="E355" s="292" t="s">
        <v>218</v>
      </c>
      <c r="F355" s="16">
        <v>6706</v>
      </c>
      <c r="G355" s="27" t="s">
        <v>75</v>
      </c>
      <c r="H355" s="16">
        <v>500</v>
      </c>
      <c r="I355" s="16">
        <f t="shared" ref="I355:I359" si="79">SUM(H355:H355)</f>
        <v>500</v>
      </c>
      <c r="J355" s="340">
        <v>500</v>
      </c>
      <c r="K355" s="71"/>
      <c r="L355" s="16" t="s">
        <v>187</v>
      </c>
      <c r="M355" s="114"/>
    </row>
    <row r="356" spans="1:13" x14ac:dyDescent="0.3">
      <c r="A356" s="340"/>
      <c r="B356" s="287"/>
      <c r="C356" s="287"/>
      <c r="D356" s="287"/>
      <c r="E356" s="287"/>
      <c r="F356" s="16"/>
      <c r="G356" s="27"/>
      <c r="H356" s="16"/>
      <c r="I356" s="16">
        <f t="shared" si="79"/>
        <v>0</v>
      </c>
      <c r="J356" s="340"/>
      <c r="K356" s="71"/>
      <c r="L356" s="46" t="s">
        <v>85</v>
      </c>
      <c r="M356" s="114"/>
    </row>
    <row r="357" spans="1:13" x14ac:dyDescent="0.3">
      <c r="A357" s="340"/>
      <c r="B357" s="287"/>
      <c r="C357" s="287"/>
      <c r="D357" s="287"/>
      <c r="E357" s="287"/>
      <c r="F357" s="16"/>
      <c r="G357" s="18"/>
      <c r="H357" s="16"/>
      <c r="I357" s="16">
        <f t="shared" si="79"/>
        <v>0</v>
      </c>
      <c r="J357" s="340"/>
      <c r="K357" s="71"/>
      <c r="L357" s="46" t="s">
        <v>86</v>
      </c>
      <c r="M357" s="114"/>
    </row>
    <row r="358" spans="1:13" x14ac:dyDescent="0.3">
      <c r="A358" s="340"/>
      <c r="B358" s="287"/>
      <c r="C358" s="287"/>
      <c r="D358" s="287"/>
      <c r="E358" s="287"/>
      <c r="F358" s="16"/>
      <c r="G358" s="16"/>
      <c r="H358" s="16"/>
      <c r="I358" s="16">
        <f t="shared" si="79"/>
        <v>0</v>
      </c>
      <c r="J358" s="340"/>
      <c r="K358" s="71"/>
      <c r="L358" s="16"/>
      <c r="M358" s="114"/>
    </row>
    <row r="359" spans="1:13" x14ac:dyDescent="0.3">
      <c r="A359" s="340"/>
      <c r="B359" s="287"/>
      <c r="C359" s="287"/>
      <c r="D359" s="287"/>
      <c r="E359" s="287"/>
      <c r="F359" s="16"/>
      <c r="G359" s="16"/>
      <c r="H359" s="16"/>
      <c r="I359" s="16">
        <f t="shared" si="79"/>
        <v>0</v>
      </c>
      <c r="J359" s="340"/>
      <c r="K359" s="71"/>
      <c r="L359" s="27"/>
      <c r="M359" s="114"/>
    </row>
    <row r="360" spans="1:13" ht="15" thickBot="1" x14ac:dyDescent="0.35">
      <c r="A360" s="340"/>
      <c r="B360" s="288"/>
      <c r="C360" s="288"/>
      <c r="D360" s="288"/>
      <c r="E360" s="288"/>
      <c r="F360" s="350" t="s">
        <v>17</v>
      </c>
      <c r="G360" s="350"/>
      <c r="H360" s="56">
        <f>SUM(H355:H359)</f>
        <v>500</v>
      </c>
      <c r="I360" s="56">
        <f>SUM(I355:I359)</f>
        <v>500</v>
      </c>
      <c r="J360" s="56"/>
      <c r="K360" s="79">
        <f>J355-I360</f>
        <v>0</v>
      </c>
      <c r="L360" s="56"/>
      <c r="M360" s="114"/>
    </row>
    <row r="361" spans="1:13" ht="15" thickTop="1" x14ac:dyDescent="0.3">
      <c r="A361" s="241">
        <v>60</v>
      </c>
      <c r="B361" s="328" t="s">
        <v>228</v>
      </c>
      <c r="C361" s="286" t="s">
        <v>207</v>
      </c>
      <c r="D361" s="286" t="s">
        <v>124</v>
      </c>
      <c r="E361" s="292" t="s">
        <v>229</v>
      </c>
      <c r="F361" s="16">
        <v>6707</v>
      </c>
      <c r="G361" s="27" t="s">
        <v>75</v>
      </c>
      <c r="H361" s="16">
        <v>700</v>
      </c>
      <c r="I361" s="16">
        <f t="shared" ref="I361:I365" si="80">SUM(H361:H361)</f>
        <v>700</v>
      </c>
      <c r="J361" s="340">
        <v>700</v>
      </c>
      <c r="K361" s="71"/>
      <c r="L361" s="16" t="s">
        <v>209</v>
      </c>
      <c r="M361" s="114"/>
    </row>
    <row r="362" spans="1:13" x14ac:dyDescent="0.3">
      <c r="A362" s="241"/>
      <c r="B362" s="287"/>
      <c r="C362" s="287"/>
      <c r="D362" s="287"/>
      <c r="E362" s="287"/>
      <c r="F362" s="16"/>
      <c r="G362" s="27"/>
      <c r="H362" s="16"/>
      <c r="I362" s="16">
        <f t="shared" si="80"/>
        <v>0</v>
      </c>
      <c r="J362" s="340"/>
      <c r="K362" s="71"/>
      <c r="L362" s="46" t="s">
        <v>85</v>
      </c>
      <c r="M362" s="114"/>
    </row>
    <row r="363" spans="1:13" x14ac:dyDescent="0.3">
      <c r="A363" s="241"/>
      <c r="B363" s="287"/>
      <c r="C363" s="287"/>
      <c r="D363" s="287"/>
      <c r="E363" s="287"/>
      <c r="F363" s="16"/>
      <c r="G363" s="18"/>
      <c r="H363" s="16"/>
      <c r="I363" s="16">
        <f t="shared" si="80"/>
        <v>0</v>
      </c>
      <c r="J363" s="340"/>
      <c r="K363" s="71"/>
      <c r="L363" s="46" t="s">
        <v>86</v>
      </c>
      <c r="M363" s="114"/>
    </row>
    <row r="364" spans="1:13" x14ac:dyDescent="0.3">
      <c r="A364" s="241"/>
      <c r="B364" s="287"/>
      <c r="C364" s="287"/>
      <c r="D364" s="287"/>
      <c r="E364" s="287"/>
      <c r="F364" s="16"/>
      <c r="G364" s="16"/>
      <c r="H364" s="16"/>
      <c r="I364" s="16">
        <f t="shared" si="80"/>
        <v>0</v>
      </c>
      <c r="J364" s="340"/>
      <c r="K364" s="71"/>
      <c r="L364" s="16"/>
      <c r="M364" s="114"/>
    </row>
    <row r="365" spans="1:13" x14ac:dyDescent="0.3">
      <c r="A365" s="241"/>
      <c r="B365" s="287"/>
      <c r="C365" s="287"/>
      <c r="D365" s="287"/>
      <c r="E365" s="287"/>
      <c r="F365" s="16"/>
      <c r="G365" s="16"/>
      <c r="H365" s="16"/>
      <c r="I365" s="16">
        <f t="shared" si="80"/>
        <v>0</v>
      </c>
      <c r="J365" s="340"/>
      <c r="K365" s="71"/>
      <c r="L365" s="27"/>
      <c r="M365" s="114"/>
    </row>
    <row r="366" spans="1:13" ht="15" thickBot="1" x14ac:dyDescent="0.35">
      <c r="A366" s="242"/>
      <c r="B366" s="288"/>
      <c r="C366" s="288"/>
      <c r="D366" s="288"/>
      <c r="E366" s="288"/>
      <c r="F366" s="350" t="s">
        <v>17</v>
      </c>
      <c r="G366" s="350"/>
      <c r="H366" s="56">
        <f>SUM(H361:H365)</f>
        <v>700</v>
      </c>
      <c r="I366" s="56">
        <f>SUM(I361:I365)</f>
        <v>700</v>
      </c>
      <c r="J366" s="56"/>
      <c r="K366" s="79">
        <f>J361-I366</f>
        <v>0</v>
      </c>
      <c r="L366" s="56"/>
      <c r="M366" s="114"/>
    </row>
    <row r="367" spans="1:13" ht="15" thickTop="1" x14ac:dyDescent="0.3">
      <c r="A367" s="340">
        <f t="shared" ref="A367" si="81">1+A361</f>
        <v>61</v>
      </c>
      <c r="B367" s="328" t="s">
        <v>224</v>
      </c>
      <c r="C367" s="286" t="s">
        <v>207</v>
      </c>
      <c r="D367" s="286" t="s">
        <v>124</v>
      </c>
      <c r="E367" s="292" t="s">
        <v>218</v>
      </c>
      <c r="F367" s="16">
        <v>6708</v>
      </c>
      <c r="G367" s="27" t="s">
        <v>75</v>
      </c>
      <c r="H367" s="16">
        <v>500</v>
      </c>
      <c r="I367" s="16">
        <f t="shared" ref="I367:I371" si="82">SUM(H367:H367)</f>
        <v>500</v>
      </c>
      <c r="J367" s="340">
        <v>500</v>
      </c>
      <c r="K367" s="71"/>
      <c r="L367" s="16" t="s">
        <v>187</v>
      </c>
      <c r="M367" s="114"/>
    </row>
    <row r="368" spans="1:13" x14ac:dyDescent="0.3">
      <c r="A368" s="340"/>
      <c r="B368" s="287"/>
      <c r="C368" s="287"/>
      <c r="D368" s="287"/>
      <c r="E368" s="287"/>
      <c r="F368" s="16"/>
      <c r="G368" s="27"/>
      <c r="H368" s="16"/>
      <c r="I368" s="16">
        <f t="shared" si="82"/>
        <v>0</v>
      </c>
      <c r="J368" s="340"/>
      <c r="K368" s="71"/>
      <c r="L368" s="46" t="s">
        <v>85</v>
      </c>
      <c r="M368" s="114"/>
    </row>
    <row r="369" spans="1:13" x14ac:dyDescent="0.3">
      <c r="A369" s="340"/>
      <c r="B369" s="287"/>
      <c r="C369" s="287"/>
      <c r="D369" s="287"/>
      <c r="E369" s="287"/>
      <c r="F369" s="16"/>
      <c r="G369" s="18"/>
      <c r="H369" s="16"/>
      <c r="I369" s="16">
        <f t="shared" si="82"/>
        <v>0</v>
      </c>
      <c r="J369" s="340"/>
      <c r="K369" s="71"/>
      <c r="L369" s="46" t="s">
        <v>86</v>
      </c>
      <c r="M369" s="114"/>
    </row>
    <row r="370" spans="1:13" x14ac:dyDescent="0.3">
      <c r="A370" s="340"/>
      <c r="B370" s="287"/>
      <c r="C370" s="287"/>
      <c r="D370" s="287"/>
      <c r="E370" s="287"/>
      <c r="F370" s="16"/>
      <c r="G370" s="16"/>
      <c r="H370" s="16"/>
      <c r="I370" s="16">
        <f t="shared" si="82"/>
        <v>0</v>
      </c>
      <c r="J370" s="340"/>
      <c r="K370" s="71"/>
      <c r="L370" s="16"/>
      <c r="M370" s="114"/>
    </row>
    <row r="371" spans="1:13" x14ac:dyDescent="0.3">
      <c r="A371" s="340"/>
      <c r="B371" s="287"/>
      <c r="C371" s="287"/>
      <c r="D371" s="287"/>
      <c r="E371" s="287"/>
      <c r="F371" s="16"/>
      <c r="G371" s="16"/>
      <c r="H371" s="16"/>
      <c r="I371" s="16">
        <f t="shared" si="82"/>
        <v>0</v>
      </c>
      <c r="J371" s="340"/>
      <c r="K371" s="71"/>
      <c r="L371" s="27"/>
      <c r="M371" s="114"/>
    </row>
    <row r="372" spans="1:13" ht="15" thickBot="1" x14ac:dyDescent="0.35">
      <c r="A372" s="340"/>
      <c r="B372" s="288"/>
      <c r="C372" s="288"/>
      <c r="D372" s="288"/>
      <c r="E372" s="288"/>
      <c r="F372" s="350" t="s">
        <v>17</v>
      </c>
      <c r="G372" s="350"/>
      <c r="H372" s="56">
        <f>SUM(H367:H371)</f>
        <v>500</v>
      </c>
      <c r="I372" s="56">
        <f>SUM(I367:I371)</f>
        <v>500</v>
      </c>
      <c r="J372" s="56"/>
      <c r="K372" s="79">
        <f>J367-I372</f>
        <v>0</v>
      </c>
      <c r="L372" s="56"/>
      <c r="M372" s="114"/>
    </row>
    <row r="373" spans="1:13" ht="15" thickTop="1" x14ac:dyDescent="0.3">
      <c r="A373" s="241">
        <v>62</v>
      </c>
      <c r="B373" s="328" t="s">
        <v>225</v>
      </c>
      <c r="C373" s="286" t="s">
        <v>207</v>
      </c>
      <c r="D373" s="286" t="s">
        <v>124</v>
      </c>
      <c r="E373" s="292" t="s">
        <v>218</v>
      </c>
      <c r="F373" s="16">
        <v>6709</v>
      </c>
      <c r="G373" s="27" t="s">
        <v>75</v>
      </c>
      <c r="H373" s="16">
        <v>500</v>
      </c>
      <c r="I373" s="16">
        <f t="shared" ref="I373:I377" si="83">SUM(H373:H373)</f>
        <v>500</v>
      </c>
      <c r="J373" s="340">
        <v>500</v>
      </c>
      <c r="K373" s="71"/>
      <c r="L373" s="16" t="s">
        <v>187</v>
      </c>
      <c r="M373" s="114"/>
    </row>
    <row r="374" spans="1:13" x14ac:dyDescent="0.3">
      <c r="A374" s="241"/>
      <c r="B374" s="287"/>
      <c r="C374" s="287"/>
      <c r="D374" s="287"/>
      <c r="E374" s="287"/>
      <c r="F374" s="16"/>
      <c r="G374" s="27"/>
      <c r="H374" s="16"/>
      <c r="I374" s="16">
        <f t="shared" si="83"/>
        <v>0</v>
      </c>
      <c r="J374" s="340"/>
      <c r="K374" s="71"/>
      <c r="L374" s="46" t="s">
        <v>85</v>
      </c>
      <c r="M374" s="114"/>
    </row>
    <row r="375" spans="1:13" x14ac:dyDescent="0.3">
      <c r="A375" s="241"/>
      <c r="B375" s="287"/>
      <c r="C375" s="287"/>
      <c r="D375" s="287"/>
      <c r="E375" s="287"/>
      <c r="F375" s="16"/>
      <c r="G375" s="18"/>
      <c r="H375" s="16"/>
      <c r="I375" s="16">
        <f t="shared" si="83"/>
        <v>0</v>
      </c>
      <c r="J375" s="340"/>
      <c r="K375" s="71"/>
      <c r="L375" s="46" t="s">
        <v>86</v>
      </c>
      <c r="M375" s="114"/>
    </row>
    <row r="376" spans="1:13" x14ac:dyDescent="0.3">
      <c r="A376" s="241"/>
      <c r="B376" s="287"/>
      <c r="C376" s="287"/>
      <c r="D376" s="287"/>
      <c r="E376" s="287"/>
      <c r="F376" s="16"/>
      <c r="G376" s="16"/>
      <c r="H376" s="16"/>
      <c r="I376" s="16">
        <f t="shared" si="83"/>
        <v>0</v>
      </c>
      <c r="J376" s="340"/>
      <c r="K376" s="71"/>
      <c r="L376" s="16"/>
      <c r="M376" s="114"/>
    </row>
    <row r="377" spans="1:13" x14ac:dyDescent="0.3">
      <c r="A377" s="241"/>
      <c r="B377" s="287"/>
      <c r="C377" s="287"/>
      <c r="D377" s="287"/>
      <c r="E377" s="287"/>
      <c r="F377" s="16"/>
      <c r="G377" s="16"/>
      <c r="H377" s="16"/>
      <c r="I377" s="16">
        <f t="shared" si="83"/>
        <v>0</v>
      </c>
      <c r="J377" s="340"/>
      <c r="K377" s="71"/>
      <c r="L377" s="27"/>
      <c r="M377" s="114"/>
    </row>
    <row r="378" spans="1:13" ht="15" thickBot="1" x14ac:dyDescent="0.35">
      <c r="A378" s="242"/>
      <c r="B378" s="288"/>
      <c r="C378" s="288"/>
      <c r="D378" s="288"/>
      <c r="E378" s="288"/>
      <c r="F378" s="350" t="s">
        <v>17</v>
      </c>
      <c r="G378" s="350"/>
      <c r="H378" s="56">
        <f>SUM(H373:H377)</f>
        <v>500</v>
      </c>
      <c r="I378" s="56">
        <f>SUM(I373:I377)</f>
        <v>500</v>
      </c>
      <c r="J378" s="56"/>
      <c r="K378" s="79">
        <f>J373-I378</f>
        <v>0</v>
      </c>
      <c r="L378" s="56"/>
      <c r="M378" s="114"/>
    </row>
    <row r="379" spans="1:13" ht="15" thickTop="1" x14ac:dyDescent="0.3">
      <c r="A379" s="340">
        <f t="shared" ref="A379" si="84">1+A373</f>
        <v>63</v>
      </c>
      <c r="B379" s="328" t="s">
        <v>226</v>
      </c>
      <c r="C379" s="286" t="s">
        <v>191</v>
      </c>
      <c r="D379" s="286" t="s">
        <v>124</v>
      </c>
      <c r="E379" s="292" t="s">
        <v>186</v>
      </c>
      <c r="F379" s="16">
        <v>6710</v>
      </c>
      <c r="G379" s="27" t="s">
        <v>75</v>
      </c>
      <c r="H379" s="16">
        <v>500</v>
      </c>
      <c r="I379" s="16">
        <f t="shared" ref="I379:I383" si="85">SUM(H379:H379)</f>
        <v>500</v>
      </c>
      <c r="J379" s="340">
        <v>500</v>
      </c>
      <c r="K379" s="71"/>
      <c r="L379" s="16" t="s">
        <v>187</v>
      </c>
      <c r="M379" s="114"/>
    </row>
    <row r="380" spans="1:13" x14ac:dyDescent="0.3">
      <c r="A380" s="340"/>
      <c r="B380" s="287"/>
      <c r="C380" s="287"/>
      <c r="D380" s="287"/>
      <c r="E380" s="287"/>
      <c r="F380" s="16"/>
      <c r="G380" s="27"/>
      <c r="H380" s="16"/>
      <c r="I380" s="16">
        <f t="shared" si="85"/>
        <v>0</v>
      </c>
      <c r="J380" s="340"/>
      <c r="K380" s="71"/>
      <c r="L380" s="46" t="s">
        <v>85</v>
      </c>
      <c r="M380" s="114"/>
    </row>
    <row r="381" spans="1:13" x14ac:dyDescent="0.3">
      <c r="A381" s="340"/>
      <c r="B381" s="287"/>
      <c r="C381" s="287"/>
      <c r="D381" s="287"/>
      <c r="E381" s="287"/>
      <c r="F381" s="16"/>
      <c r="G381" s="18"/>
      <c r="H381" s="16"/>
      <c r="I381" s="16">
        <f t="shared" si="85"/>
        <v>0</v>
      </c>
      <c r="J381" s="340"/>
      <c r="K381" s="71"/>
      <c r="L381" s="46" t="s">
        <v>86</v>
      </c>
      <c r="M381" s="114"/>
    </row>
    <row r="382" spans="1:13" x14ac:dyDescent="0.3">
      <c r="A382" s="340"/>
      <c r="B382" s="287"/>
      <c r="C382" s="287"/>
      <c r="D382" s="287"/>
      <c r="E382" s="287"/>
      <c r="F382" s="16"/>
      <c r="G382" s="16"/>
      <c r="H382" s="16"/>
      <c r="I382" s="16">
        <f t="shared" si="85"/>
        <v>0</v>
      </c>
      <c r="J382" s="340"/>
      <c r="K382" s="71"/>
      <c r="L382" s="16"/>
      <c r="M382" s="114"/>
    </row>
    <row r="383" spans="1:13" x14ac:dyDescent="0.3">
      <c r="A383" s="340"/>
      <c r="B383" s="287"/>
      <c r="C383" s="287"/>
      <c r="D383" s="287"/>
      <c r="E383" s="287"/>
      <c r="F383" s="16"/>
      <c r="G383" s="16"/>
      <c r="H383" s="16"/>
      <c r="I383" s="16">
        <f t="shared" si="85"/>
        <v>0</v>
      </c>
      <c r="J383" s="340"/>
      <c r="K383" s="71"/>
      <c r="L383" s="27"/>
      <c r="M383" s="114"/>
    </row>
    <row r="384" spans="1:13" ht="15" thickBot="1" x14ac:dyDescent="0.35">
      <c r="A384" s="340"/>
      <c r="B384" s="288"/>
      <c r="C384" s="288"/>
      <c r="D384" s="288"/>
      <c r="E384" s="288"/>
      <c r="F384" s="350" t="s">
        <v>17</v>
      </c>
      <c r="G384" s="350"/>
      <c r="H384" s="56">
        <f>SUM(H379:H383)</f>
        <v>500</v>
      </c>
      <c r="I384" s="56">
        <f>SUM(I379:I383)</f>
        <v>500</v>
      </c>
      <c r="J384" s="56"/>
      <c r="K384" s="79">
        <f>J379-I384</f>
        <v>0</v>
      </c>
      <c r="L384" s="56"/>
      <c r="M384" s="114"/>
    </row>
    <row r="385" spans="1:13" ht="15" thickTop="1" x14ac:dyDescent="0.3">
      <c r="A385" s="241">
        <v>64</v>
      </c>
      <c r="B385" s="328" t="s">
        <v>135</v>
      </c>
      <c r="C385" s="286" t="s">
        <v>141</v>
      </c>
      <c r="D385" s="286" t="s">
        <v>124</v>
      </c>
      <c r="E385" s="292" t="s">
        <v>227</v>
      </c>
      <c r="F385" s="16">
        <v>6711</v>
      </c>
      <c r="G385" s="27" t="s">
        <v>75</v>
      </c>
      <c r="H385" s="16">
        <v>200</v>
      </c>
      <c r="I385" s="16">
        <f t="shared" ref="I385:I389" si="86">SUM(H385:H385)</f>
        <v>200</v>
      </c>
      <c r="J385" s="340">
        <v>200</v>
      </c>
      <c r="K385" s="71"/>
      <c r="L385" s="16" t="s">
        <v>138</v>
      </c>
      <c r="M385" s="114"/>
    </row>
    <row r="386" spans="1:13" x14ac:dyDescent="0.3">
      <c r="A386" s="241"/>
      <c r="B386" s="287"/>
      <c r="C386" s="287"/>
      <c r="D386" s="287"/>
      <c r="E386" s="287"/>
      <c r="F386" s="16"/>
      <c r="G386" s="27"/>
      <c r="H386" s="16"/>
      <c r="I386" s="16">
        <f t="shared" si="86"/>
        <v>0</v>
      </c>
      <c r="J386" s="340"/>
      <c r="K386" s="71"/>
      <c r="L386" s="46" t="s">
        <v>85</v>
      </c>
      <c r="M386" s="114"/>
    </row>
    <row r="387" spans="1:13" x14ac:dyDescent="0.3">
      <c r="A387" s="241"/>
      <c r="B387" s="287"/>
      <c r="C387" s="287"/>
      <c r="D387" s="287"/>
      <c r="E387" s="287"/>
      <c r="F387" s="16"/>
      <c r="G387" s="18"/>
      <c r="H387" s="16"/>
      <c r="I387" s="16">
        <f t="shared" si="86"/>
        <v>0</v>
      </c>
      <c r="J387" s="340"/>
      <c r="K387" s="71"/>
      <c r="L387" s="46" t="s">
        <v>86</v>
      </c>
      <c r="M387" s="114"/>
    </row>
    <row r="388" spans="1:13" x14ac:dyDescent="0.3">
      <c r="A388" s="241"/>
      <c r="B388" s="287"/>
      <c r="C388" s="287"/>
      <c r="D388" s="287"/>
      <c r="E388" s="287"/>
      <c r="F388" s="16"/>
      <c r="G388" s="16"/>
      <c r="H388" s="16"/>
      <c r="I388" s="16">
        <f t="shared" si="86"/>
        <v>0</v>
      </c>
      <c r="J388" s="340"/>
      <c r="K388" s="71"/>
      <c r="L388" s="16"/>
      <c r="M388" s="114"/>
    </row>
    <row r="389" spans="1:13" x14ac:dyDescent="0.3">
      <c r="A389" s="241"/>
      <c r="B389" s="287"/>
      <c r="C389" s="287"/>
      <c r="D389" s="287"/>
      <c r="E389" s="287"/>
      <c r="F389" s="16"/>
      <c r="G389" s="16"/>
      <c r="H389" s="16"/>
      <c r="I389" s="16">
        <f t="shared" si="86"/>
        <v>0</v>
      </c>
      <c r="J389" s="340"/>
      <c r="K389" s="71"/>
      <c r="L389" s="27"/>
      <c r="M389" s="114"/>
    </row>
    <row r="390" spans="1:13" ht="15" thickBot="1" x14ac:dyDescent="0.35">
      <c r="A390" s="242"/>
      <c r="B390" s="288"/>
      <c r="C390" s="288"/>
      <c r="D390" s="288"/>
      <c r="E390" s="288"/>
      <c r="F390" s="350" t="s">
        <v>17</v>
      </c>
      <c r="G390" s="350"/>
      <c r="H390" s="56">
        <f>SUM(H385:H389)</f>
        <v>200</v>
      </c>
      <c r="I390" s="56">
        <f>SUM(I385:I389)</f>
        <v>200</v>
      </c>
      <c r="J390" s="56"/>
      <c r="K390" s="79">
        <f>J385-I390</f>
        <v>0</v>
      </c>
      <c r="L390" s="56"/>
      <c r="M390" s="114"/>
    </row>
    <row r="391" spans="1:13" ht="15" thickTop="1" x14ac:dyDescent="0.3">
      <c r="A391" s="340">
        <f t="shared" ref="A391" si="87">1+A385</f>
        <v>65</v>
      </c>
      <c r="B391" s="328" t="s">
        <v>232</v>
      </c>
      <c r="C391" s="286" t="s">
        <v>80</v>
      </c>
      <c r="D391" s="286" t="s">
        <v>233</v>
      </c>
      <c r="E391" s="292" t="s">
        <v>234</v>
      </c>
      <c r="F391" s="16">
        <v>6715</v>
      </c>
      <c r="G391" s="27" t="s">
        <v>235</v>
      </c>
      <c r="H391" s="16">
        <v>1450</v>
      </c>
      <c r="I391" s="16">
        <f t="shared" ref="I391:I395" si="88">SUM(H391:H391)</f>
        <v>1450</v>
      </c>
      <c r="J391" s="340">
        <v>1450</v>
      </c>
      <c r="K391" s="71"/>
      <c r="L391" s="16" t="s">
        <v>138</v>
      </c>
      <c r="M391" s="114"/>
    </row>
    <row r="392" spans="1:13" x14ac:dyDescent="0.3">
      <c r="A392" s="340"/>
      <c r="B392" s="287"/>
      <c r="C392" s="287"/>
      <c r="D392" s="287"/>
      <c r="E392" s="287"/>
      <c r="F392" s="16"/>
      <c r="G392" s="27"/>
      <c r="H392" s="16"/>
      <c r="I392" s="16">
        <f t="shared" si="88"/>
        <v>0</v>
      </c>
      <c r="J392" s="340"/>
      <c r="K392" s="71"/>
      <c r="L392" s="46" t="s">
        <v>85</v>
      </c>
      <c r="M392" s="114"/>
    </row>
    <row r="393" spans="1:13" x14ac:dyDescent="0.3">
      <c r="A393" s="340"/>
      <c r="B393" s="287"/>
      <c r="C393" s="287"/>
      <c r="D393" s="287"/>
      <c r="E393" s="287"/>
      <c r="F393" s="16"/>
      <c r="G393" s="18"/>
      <c r="H393" s="16"/>
      <c r="I393" s="16">
        <f t="shared" si="88"/>
        <v>0</v>
      </c>
      <c r="J393" s="340"/>
      <c r="K393" s="71"/>
      <c r="L393" s="46" t="s">
        <v>86</v>
      </c>
      <c r="M393" s="114"/>
    </row>
    <row r="394" spans="1:13" x14ac:dyDescent="0.3">
      <c r="A394" s="340"/>
      <c r="B394" s="287"/>
      <c r="C394" s="287"/>
      <c r="D394" s="287"/>
      <c r="E394" s="287"/>
      <c r="F394" s="16"/>
      <c r="G394" s="16"/>
      <c r="H394" s="16"/>
      <c r="I394" s="16">
        <f t="shared" si="88"/>
        <v>0</v>
      </c>
      <c r="J394" s="340"/>
      <c r="K394" s="71"/>
      <c r="L394" s="16"/>
      <c r="M394" s="114"/>
    </row>
    <row r="395" spans="1:13" x14ac:dyDescent="0.3">
      <c r="A395" s="340"/>
      <c r="B395" s="287"/>
      <c r="C395" s="287"/>
      <c r="D395" s="287"/>
      <c r="E395" s="287"/>
      <c r="F395" s="16"/>
      <c r="G395" s="16"/>
      <c r="H395" s="16"/>
      <c r="I395" s="16">
        <f t="shared" si="88"/>
        <v>0</v>
      </c>
      <c r="J395" s="340"/>
      <c r="K395" s="71"/>
      <c r="L395" s="27"/>
      <c r="M395" s="114"/>
    </row>
    <row r="396" spans="1:13" ht="15" thickBot="1" x14ac:dyDescent="0.35">
      <c r="A396" s="340"/>
      <c r="B396" s="288"/>
      <c r="C396" s="288"/>
      <c r="D396" s="288"/>
      <c r="E396" s="288"/>
      <c r="F396" s="350" t="s">
        <v>17</v>
      </c>
      <c r="G396" s="350"/>
      <c r="H396" s="56">
        <f>SUM(H391:H395)</f>
        <v>1450</v>
      </c>
      <c r="I396" s="56">
        <f>SUM(I391:I395)</f>
        <v>1450</v>
      </c>
      <c r="J396" s="56"/>
      <c r="K396" s="79">
        <f>J391-I396</f>
        <v>0</v>
      </c>
      <c r="L396" s="56"/>
      <c r="M396" s="114"/>
    </row>
    <row r="397" spans="1:13" ht="15" thickTop="1" x14ac:dyDescent="0.3">
      <c r="A397" s="241">
        <v>66</v>
      </c>
      <c r="B397" s="328" t="s">
        <v>245</v>
      </c>
      <c r="C397" s="286" t="s">
        <v>80</v>
      </c>
      <c r="D397" s="286" t="s">
        <v>81</v>
      </c>
      <c r="E397" s="292" t="s">
        <v>246</v>
      </c>
      <c r="F397" s="16">
        <v>6720</v>
      </c>
      <c r="G397" s="27" t="s">
        <v>247</v>
      </c>
      <c r="H397" s="16">
        <v>500</v>
      </c>
      <c r="I397" s="16">
        <f t="shared" ref="I397:I401" si="89">SUM(H397:H397)</f>
        <v>500</v>
      </c>
      <c r="J397" s="340">
        <v>500</v>
      </c>
      <c r="K397" s="71"/>
      <c r="L397" s="16" t="s">
        <v>187</v>
      </c>
      <c r="M397" s="114"/>
    </row>
    <row r="398" spans="1:13" x14ac:dyDescent="0.3">
      <c r="A398" s="241"/>
      <c r="B398" s="287"/>
      <c r="C398" s="287"/>
      <c r="D398" s="287"/>
      <c r="E398" s="287"/>
      <c r="F398" s="16"/>
      <c r="G398" s="27"/>
      <c r="H398" s="16"/>
      <c r="I398" s="16">
        <f t="shared" si="89"/>
        <v>0</v>
      </c>
      <c r="J398" s="340"/>
      <c r="K398" s="71"/>
      <c r="L398" s="46" t="s">
        <v>85</v>
      </c>
      <c r="M398" s="114"/>
    </row>
    <row r="399" spans="1:13" x14ac:dyDescent="0.3">
      <c r="A399" s="241"/>
      <c r="B399" s="287"/>
      <c r="C399" s="287"/>
      <c r="D399" s="287"/>
      <c r="E399" s="287"/>
      <c r="F399" s="16"/>
      <c r="G399" s="18"/>
      <c r="H399" s="16"/>
      <c r="I399" s="16">
        <f t="shared" si="89"/>
        <v>0</v>
      </c>
      <c r="J399" s="340"/>
      <c r="K399" s="71"/>
      <c r="L399" s="46" t="s">
        <v>86</v>
      </c>
      <c r="M399" s="114"/>
    </row>
    <row r="400" spans="1:13" x14ac:dyDescent="0.3">
      <c r="A400" s="241"/>
      <c r="B400" s="287"/>
      <c r="C400" s="287"/>
      <c r="D400" s="287"/>
      <c r="E400" s="287"/>
      <c r="F400" s="16"/>
      <c r="G400" s="16"/>
      <c r="H400" s="16"/>
      <c r="I400" s="16">
        <f t="shared" si="89"/>
        <v>0</v>
      </c>
      <c r="J400" s="340"/>
      <c r="K400" s="71"/>
      <c r="L400" s="16"/>
      <c r="M400" s="114"/>
    </row>
    <row r="401" spans="1:13" x14ac:dyDescent="0.3">
      <c r="A401" s="241"/>
      <c r="B401" s="287"/>
      <c r="C401" s="287"/>
      <c r="D401" s="287"/>
      <c r="E401" s="287"/>
      <c r="F401" s="16"/>
      <c r="G401" s="16"/>
      <c r="H401" s="16"/>
      <c r="I401" s="16">
        <f t="shared" si="89"/>
        <v>0</v>
      </c>
      <c r="J401" s="340"/>
      <c r="K401" s="71"/>
      <c r="L401" s="27"/>
      <c r="M401" s="114"/>
    </row>
    <row r="402" spans="1:13" ht="15" thickBot="1" x14ac:dyDescent="0.35">
      <c r="A402" s="242"/>
      <c r="B402" s="288"/>
      <c r="C402" s="288"/>
      <c r="D402" s="288"/>
      <c r="E402" s="288"/>
      <c r="F402" s="350" t="s">
        <v>17</v>
      </c>
      <c r="G402" s="350"/>
      <c r="H402" s="56">
        <f>SUM(H397:H401)</f>
        <v>500</v>
      </c>
      <c r="I402" s="56">
        <f>SUM(I397:I401)</f>
        <v>500</v>
      </c>
      <c r="J402" s="56"/>
      <c r="K402" s="79">
        <f>J397-I402</f>
        <v>0</v>
      </c>
      <c r="L402" s="56"/>
      <c r="M402" s="114"/>
    </row>
    <row r="403" spans="1:13" ht="15" thickTop="1" x14ac:dyDescent="0.3">
      <c r="A403" s="340">
        <f t="shared" ref="A403" si="90">1+A397</f>
        <v>67</v>
      </c>
      <c r="B403" s="328" t="s">
        <v>248</v>
      </c>
      <c r="C403" s="286" t="s">
        <v>141</v>
      </c>
      <c r="D403" s="286" t="s">
        <v>249</v>
      </c>
      <c r="E403" s="292" t="s">
        <v>246</v>
      </c>
      <c r="F403" s="16">
        <v>6721</v>
      </c>
      <c r="G403" s="27" t="s">
        <v>247</v>
      </c>
      <c r="H403" s="16">
        <v>500</v>
      </c>
      <c r="I403" s="16">
        <f t="shared" ref="I403:I407" si="91">SUM(H403:H403)</f>
        <v>500</v>
      </c>
      <c r="J403" s="340">
        <v>500</v>
      </c>
      <c r="K403" s="71"/>
      <c r="L403" s="16" t="s">
        <v>187</v>
      </c>
      <c r="M403" s="114"/>
    </row>
    <row r="404" spans="1:13" x14ac:dyDescent="0.3">
      <c r="A404" s="340"/>
      <c r="B404" s="287"/>
      <c r="C404" s="287"/>
      <c r="D404" s="287"/>
      <c r="E404" s="287"/>
      <c r="F404" s="16"/>
      <c r="G404" s="27"/>
      <c r="H404" s="16"/>
      <c r="I404" s="16">
        <f t="shared" si="91"/>
        <v>0</v>
      </c>
      <c r="J404" s="340"/>
      <c r="K404" s="71"/>
      <c r="L404" s="46" t="s">
        <v>85</v>
      </c>
      <c r="M404" s="114"/>
    </row>
    <row r="405" spans="1:13" x14ac:dyDescent="0.3">
      <c r="A405" s="340"/>
      <c r="B405" s="287"/>
      <c r="C405" s="287"/>
      <c r="D405" s="287"/>
      <c r="E405" s="287"/>
      <c r="F405" s="16"/>
      <c r="G405" s="18"/>
      <c r="H405" s="16"/>
      <c r="I405" s="16">
        <f t="shared" si="91"/>
        <v>0</v>
      </c>
      <c r="J405" s="340"/>
      <c r="K405" s="71"/>
      <c r="L405" s="46" t="s">
        <v>86</v>
      </c>
      <c r="M405" s="114"/>
    </row>
    <row r="406" spans="1:13" x14ac:dyDescent="0.3">
      <c r="A406" s="340"/>
      <c r="B406" s="287"/>
      <c r="C406" s="287"/>
      <c r="D406" s="287"/>
      <c r="E406" s="287"/>
      <c r="F406" s="16"/>
      <c r="G406" s="16"/>
      <c r="H406" s="16"/>
      <c r="I406" s="16">
        <f t="shared" si="91"/>
        <v>0</v>
      </c>
      <c r="J406" s="340"/>
      <c r="K406" s="71"/>
      <c r="L406" s="16"/>
      <c r="M406" s="114"/>
    </row>
    <row r="407" spans="1:13" x14ac:dyDescent="0.3">
      <c r="A407" s="340"/>
      <c r="B407" s="287"/>
      <c r="C407" s="287"/>
      <c r="D407" s="287"/>
      <c r="E407" s="287"/>
      <c r="F407" s="16"/>
      <c r="G407" s="16"/>
      <c r="H407" s="16"/>
      <c r="I407" s="16">
        <f t="shared" si="91"/>
        <v>0</v>
      </c>
      <c r="J407" s="340"/>
      <c r="K407" s="71"/>
      <c r="L407" s="27"/>
      <c r="M407" s="114"/>
    </row>
    <row r="408" spans="1:13" ht="15" thickBot="1" x14ac:dyDescent="0.35">
      <c r="A408" s="340"/>
      <c r="B408" s="288"/>
      <c r="C408" s="288"/>
      <c r="D408" s="288"/>
      <c r="E408" s="288"/>
      <c r="F408" s="350" t="s">
        <v>17</v>
      </c>
      <c r="G408" s="350"/>
      <c r="H408" s="56">
        <f>SUM(H403:H407)</f>
        <v>500</v>
      </c>
      <c r="I408" s="56">
        <f>SUM(I403:I407)</f>
        <v>500</v>
      </c>
      <c r="J408" s="56"/>
      <c r="K408" s="79">
        <f>J403-I408</f>
        <v>0</v>
      </c>
      <c r="L408" s="56"/>
      <c r="M408" s="114"/>
    </row>
    <row r="409" spans="1:13" ht="15" thickTop="1" x14ac:dyDescent="0.3">
      <c r="A409" s="241">
        <v>68</v>
      </c>
      <c r="B409" s="328" t="s">
        <v>250</v>
      </c>
      <c r="C409" s="286" t="s">
        <v>141</v>
      </c>
      <c r="D409" s="286" t="s">
        <v>81</v>
      </c>
      <c r="E409" s="292" t="s">
        <v>251</v>
      </c>
      <c r="F409" s="16">
        <v>6723</v>
      </c>
      <c r="G409" s="27" t="s">
        <v>252</v>
      </c>
      <c r="H409" s="16">
        <v>100</v>
      </c>
      <c r="I409" s="16">
        <f t="shared" ref="I409:I413" si="92">SUM(H409:H409)</f>
        <v>100</v>
      </c>
      <c r="J409" s="340">
        <v>100</v>
      </c>
      <c r="K409" s="71"/>
      <c r="L409" s="16" t="s">
        <v>253</v>
      </c>
      <c r="M409" s="114"/>
    </row>
    <row r="410" spans="1:13" x14ac:dyDescent="0.3">
      <c r="A410" s="241"/>
      <c r="B410" s="287"/>
      <c r="C410" s="287"/>
      <c r="D410" s="287"/>
      <c r="E410" s="287"/>
      <c r="F410" s="16"/>
      <c r="G410" s="27"/>
      <c r="H410" s="16"/>
      <c r="I410" s="16">
        <f t="shared" si="92"/>
        <v>0</v>
      </c>
      <c r="J410" s="340"/>
      <c r="K410" s="71"/>
      <c r="L410" s="46" t="s">
        <v>85</v>
      </c>
      <c r="M410" s="114"/>
    </row>
    <row r="411" spans="1:13" x14ac:dyDescent="0.3">
      <c r="A411" s="241"/>
      <c r="B411" s="287"/>
      <c r="C411" s="287"/>
      <c r="D411" s="287"/>
      <c r="E411" s="287"/>
      <c r="F411" s="16"/>
      <c r="G411" s="18"/>
      <c r="H411" s="16"/>
      <c r="I411" s="16">
        <f t="shared" si="92"/>
        <v>0</v>
      </c>
      <c r="J411" s="340"/>
      <c r="K411" s="71"/>
      <c r="L411" s="46" t="s">
        <v>86</v>
      </c>
      <c r="M411" s="114"/>
    </row>
    <row r="412" spans="1:13" x14ac:dyDescent="0.3">
      <c r="A412" s="241"/>
      <c r="B412" s="287"/>
      <c r="C412" s="287"/>
      <c r="D412" s="287"/>
      <c r="E412" s="287"/>
      <c r="F412" s="16"/>
      <c r="G412" s="16"/>
      <c r="H412" s="16"/>
      <c r="I412" s="16">
        <f t="shared" si="92"/>
        <v>0</v>
      </c>
      <c r="J412" s="340"/>
      <c r="K412" s="71"/>
      <c r="L412" s="16"/>
      <c r="M412" s="114"/>
    </row>
    <row r="413" spans="1:13" x14ac:dyDescent="0.3">
      <c r="A413" s="241"/>
      <c r="B413" s="287"/>
      <c r="C413" s="287"/>
      <c r="D413" s="287"/>
      <c r="E413" s="287"/>
      <c r="F413" s="16"/>
      <c r="G413" s="16"/>
      <c r="H413" s="16"/>
      <c r="I413" s="16">
        <f t="shared" si="92"/>
        <v>0</v>
      </c>
      <c r="J413" s="340"/>
      <c r="K413" s="71"/>
      <c r="L413" s="27"/>
      <c r="M413" s="114"/>
    </row>
    <row r="414" spans="1:13" ht="15" thickBot="1" x14ac:dyDescent="0.35">
      <c r="A414" s="242"/>
      <c r="B414" s="288"/>
      <c r="C414" s="288"/>
      <c r="D414" s="288"/>
      <c r="E414" s="288"/>
      <c r="F414" s="350" t="s">
        <v>17</v>
      </c>
      <c r="G414" s="350"/>
      <c r="H414" s="56">
        <f>SUM(H409:H413)</f>
        <v>100</v>
      </c>
      <c r="I414" s="56">
        <f>SUM(I409:I413)</f>
        <v>100</v>
      </c>
      <c r="J414" s="56"/>
      <c r="K414" s="79">
        <f>J409-I414</f>
        <v>0</v>
      </c>
      <c r="L414" s="56"/>
      <c r="M414" s="114"/>
    </row>
    <row r="415" spans="1:13" ht="15" thickTop="1" x14ac:dyDescent="0.3">
      <c r="A415" s="340">
        <f t="shared" ref="A415" si="93">1+A409</f>
        <v>69</v>
      </c>
      <c r="B415" s="328" t="s">
        <v>254</v>
      </c>
      <c r="C415" s="286" t="s">
        <v>141</v>
      </c>
      <c r="D415" s="286" t="s">
        <v>255</v>
      </c>
      <c r="E415" s="292" t="s">
        <v>256</v>
      </c>
      <c r="F415" s="16">
        <v>6724</v>
      </c>
      <c r="G415" s="27" t="s">
        <v>252</v>
      </c>
      <c r="H415" s="16">
        <v>700</v>
      </c>
      <c r="I415" s="16">
        <f t="shared" ref="I415:I419" si="94">SUM(H415:H415)</f>
        <v>700</v>
      </c>
      <c r="J415" s="340">
        <v>700</v>
      </c>
      <c r="K415" s="71"/>
      <c r="L415" s="16" t="s">
        <v>209</v>
      </c>
      <c r="M415" s="114"/>
    </row>
    <row r="416" spans="1:13" x14ac:dyDescent="0.3">
      <c r="A416" s="340"/>
      <c r="B416" s="287"/>
      <c r="C416" s="287"/>
      <c r="D416" s="287"/>
      <c r="E416" s="287"/>
      <c r="F416" s="16"/>
      <c r="G416" s="27"/>
      <c r="H416" s="16"/>
      <c r="I416" s="16">
        <f t="shared" si="94"/>
        <v>0</v>
      </c>
      <c r="J416" s="340"/>
      <c r="K416" s="71"/>
      <c r="L416" s="46" t="s">
        <v>85</v>
      </c>
      <c r="M416" s="114"/>
    </row>
    <row r="417" spans="1:13" x14ac:dyDescent="0.3">
      <c r="A417" s="340"/>
      <c r="B417" s="287"/>
      <c r="C417" s="287"/>
      <c r="D417" s="287"/>
      <c r="E417" s="287"/>
      <c r="F417" s="16"/>
      <c r="G417" s="18"/>
      <c r="H417" s="16"/>
      <c r="I417" s="16">
        <f t="shared" si="94"/>
        <v>0</v>
      </c>
      <c r="J417" s="340"/>
      <c r="K417" s="71"/>
      <c r="L417" s="46" t="s">
        <v>86</v>
      </c>
      <c r="M417" s="114"/>
    </row>
    <row r="418" spans="1:13" x14ac:dyDescent="0.3">
      <c r="A418" s="340"/>
      <c r="B418" s="287"/>
      <c r="C418" s="287"/>
      <c r="D418" s="287"/>
      <c r="E418" s="287"/>
      <c r="F418" s="16"/>
      <c r="G418" s="16"/>
      <c r="H418" s="16"/>
      <c r="I418" s="16">
        <f t="shared" si="94"/>
        <v>0</v>
      </c>
      <c r="J418" s="340"/>
      <c r="K418" s="71"/>
      <c r="L418" s="16"/>
      <c r="M418" s="114"/>
    </row>
    <row r="419" spans="1:13" x14ac:dyDescent="0.3">
      <c r="A419" s="340"/>
      <c r="B419" s="287"/>
      <c r="C419" s="287"/>
      <c r="D419" s="287"/>
      <c r="E419" s="287"/>
      <c r="F419" s="16"/>
      <c r="G419" s="16"/>
      <c r="H419" s="16"/>
      <c r="I419" s="16">
        <f t="shared" si="94"/>
        <v>0</v>
      </c>
      <c r="J419" s="340"/>
      <c r="K419" s="71"/>
      <c r="L419" s="27"/>
      <c r="M419" s="114"/>
    </row>
    <row r="420" spans="1:13" ht="15" thickBot="1" x14ac:dyDescent="0.35">
      <c r="A420" s="340"/>
      <c r="B420" s="288"/>
      <c r="C420" s="288"/>
      <c r="D420" s="288"/>
      <c r="E420" s="288"/>
      <c r="F420" s="350" t="s">
        <v>17</v>
      </c>
      <c r="G420" s="350"/>
      <c r="H420" s="56">
        <f>SUM(H415:H419)</f>
        <v>700</v>
      </c>
      <c r="I420" s="56">
        <f>SUM(I415:I419)</f>
        <v>700</v>
      </c>
      <c r="J420" s="56"/>
      <c r="K420" s="79">
        <f>J415-I420</f>
        <v>0</v>
      </c>
      <c r="L420" s="56"/>
      <c r="M420" s="114"/>
    </row>
    <row r="421" spans="1:13" ht="15" thickTop="1" x14ac:dyDescent="0.3">
      <c r="A421" s="241">
        <v>70</v>
      </c>
      <c r="B421" s="328" t="s">
        <v>257</v>
      </c>
      <c r="C421" s="286" t="s">
        <v>141</v>
      </c>
      <c r="D421" s="286" t="s">
        <v>81</v>
      </c>
      <c r="E421" s="292" t="s">
        <v>258</v>
      </c>
      <c r="F421" s="16">
        <v>6725</v>
      </c>
      <c r="G421" s="27" t="s">
        <v>259</v>
      </c>
      <c r="H421" s="16">
        <v>500</v>
      </c>
      <c r="I421" s="16">
        <f t="shared" ref="I421:I425" si="95">SUM(H421:H421)</f>
        <v>500</v>
      </c>
      <c r="J421" s="340">
        <v>500</v>
      </c>
      <c r="K421" s="71"/>
      <c r="L421" s="16" t="s">
        <v>187</v>
      </c>
      <c r="M421" s="114"/>
    </row>
    <row r="422" spans="1:13" x14ac:dyDescent="0.3">
      <c r="A422" s="241"/>
      <c r="B422" s="287"/>
      <c r="C422" s="287"/>
      <c r="D422" s="287"/>
      <c r="E422" s="287"/>
      <c r="F422" s="16"/>
      <c r="G422" s="27"/>
      <c r="H422" s="16"/>
      <c r="I422" s="16">
        <f t="shared" si="95"/>
        <v>0</v>
      </c>
      <c r="J422" s="340"/>
      <c r="K422" s="71"/>
      <c r="L422" s="46" t="s">
        <v>85</v>
      </c>
      <c r="M422" s="114"/>
    </row>
    <row r="423" spans="1:13" x14ac:dyDescent="0.3">
      <c r="A423" s="241"/>
      <c r="B423" s="287"/>
      <c r="C423" s="287"/>
      <c r="D423" s="287"/>
      <c r="E423" s="287"/>
      <c r="F423" s="16"/>
      <c r="G423" s="18"/>
      <c r="H423" s="16"/>
      <c r="I423" s="16">
        <f t="shared" si="95"/>
        <v>0</v>
      </c>
      <c r="J423" s="340"/>
      <c r="K423" s="71"/>
      <c r="L423" s="46" t="s">
        <v>86</v>
      </c>
      <c r="M423" s="114"/>
    </row>
    <row r="424" spans="1:13" x14ac:dyDescent="0.3">
      <c r="A424" s="241"/>
      <c r="B424" s="287"/>
      <c r="C424" s="287"/>
      <c r="D424" s="287"/>
      <c r="E424" s="287"/>
      <c r="F424" s="16"/>
      <c r="G424" s="16"/>
      <c r="H424" s="16"/>
      <c r="I424" s="16">
        <f t="shared" si="95"/>
        <v>0</v>
      </c>
      <c r="J424" s="340"/>
      <c r="K424" s="71"/>
      <c r="L424" s="16"/>
      <c r="M424" s="114"/>
    </row>
    <row r="425" spans="1:13" x14ac:dyDescent="0.3">
      <c r="A425" s="241"/>
      <c r="B425" s="287"/>
      <c r="C425" s="287"/>
      <c r="D425" s="287"/>
      <c r="E425" s="287"/>
      <c r="F425" s="16"/>
      <c r="G425" s="16"/>
      <c r="H425" s="16"/>
      <c r="I425" s="16">
        <f t="shared" si="95"/>
        <v>0</v>
      </c>
      <c r="J425" s="340"/>
      <c r="K425" s="71"/>
      <c r="L425" s="27"/>
      <c r="M425" s="114"/>
    </row>
    <row r="426" spans="1:13" ht="15" thickBot="1" x14ac:dyDescent="0.35">
      <c r="A426" s="242"/>
      <c r="B426" s="288"/>
      <c r="C426" s="288"/>
      <c r="D426" s="288"/>
      <c r="E426" s="288"/>
      <c r="F426" s="350" t="s">
        <v>17</v>
      </c>
      <c r="G426" s="350"/>
      <c r="H426" s="56">
        <f>SUM(H421:H425)</f>
        <v>500</v>
      </c>
      <c r="I426" s="56">
        <f>SUM(I421:I425)</f>
        <v>500</v>
      </c>
      <c r="J426" s="56"/>
      <c r="K426" s="79">
        <f>J421-I426</f>
        <v>0</v>
      </c>
      <c r="L426" s="56"/>
      <c r="M426" s="114"/>
    </row>
    <row r="427" spans="1:13" ht="15" thickTop="1" x14ac:dyDescent="0.3">
      <c r="A427" s="340">
        <f t="shared" ref="A427" si="96">1+A421</f>
        <v>71</v>
      </c>
      <c r="B427" s="328" t="s">
        <v>250</v>
      </c>
      <c r="C427" s="286" t="s">
        <v>141</v>
      </c>
      <c r="D427" s="286" t="s">
        <v>81</v>
      </c>
      <c r="E427" s="292" t="s">
        <v>260</v>
      </c>
      <c r="F427" s="16">
        <v>6726</v>
      </c>
      <c r="G427" s="27" t="s">
        <v>259</v>
      </c>
      <c r="H427" s="16">
        <v>400</v>
      </c>
      <c r="I427" s="16">
        <f t="shared" ref="I427:I431" si="97">SUM(H427:H427)</f>
        <v>400</v>
      </c>
      <c r="J427" s="340">
        <v>400</v>
      </c>
      <c r="K427" s="71"/>
      <c r="L427" s="16" t="s">
        <v>183</v>
      </c>
      <c r="M427" s="114"/>
    </row>
    <row r="428" spans="1:13" x14ac:dyDescent="0.3">
      <c r="A428" s="340"/>
      <c r="B428" s="287"/>
      <c r="C428" s="287"/>
      <c r="D428" s="287"/>
      <c r="E428" s="287"/>
      <c r="F428" s="16"/>
      <c r="G428" s="27"/>
      <c r="H428" s="16"/>
      <c r="I428" s="16">
        <f t="shared" si="97"/>
        <v>0</v>
      </c>
      <c r="J428" s="340"/>
      <c r="K428" s="71"/>
      <c r="L428" s="46" t="s">
        <v>85</v>
      </c>
      <c r="M428" s="114"/>
    </row>
    <row r="429" spans="1:13" x14ac:dyDescent="0.3">
      <c r="A429" s="340"/>
      <c r="B429" s="287"/>
      <c r="C429" s="287"/>
      <c r="D429" s="287"/>
      <c r="E429" s="287"/>
      <c r="F429" s="16"/>
      <c r="G429" s="18"/>
      <c r="H429" s="16"/>
      <c r="I429" s="16">
        <f t="shared" si="97"/>
        <v>0</v>
      </c>
      <c r="J429" s="340"/>
      <c r="K429" s="71"/>
      <c r="L429" s="46" t="s">
        <v>86</v>
      </c>
      <c r="M429" s="114"/>
    </row>
    <row r="430" spans="1:13" x14ac:dyDescent="0.3">
      <c r="A430" s="340"/>
      <c r="B430" s="287"/>
      <c r="C430" s="287"/>
      <c r="D430" s="287"/>
      <c r="E430" s="287"/>
      <c r="F430" s="16"/>
      <c r="G430" s="16"/>
      <c r="H430" s="16"/>
      <c r="I430" s="16">
        <f t="shared" si="97"/>
        <v>0</v>
      </c>
      <c r="J430" s="340"/>
      <c r="K430" s="71"/>
      <c r="L430" s="16"/>
      <c r="M430" s="114"/>
    </row>
    <row r="431" spans="1:13" x14ac:dyDescent="0.3">
      <c r="A431" s="340"/>
      <c r="B431" s="287"/>
      <c r="C431" s="287"/>
      <c r="D431" s="287"/>
      <c r="E431" s="287"/>
      <c r="F431" s="16"/>
      <c r="G431" s="16"/>
      <c r="H431" s="16"/>
      <c r="I431" s="16">
        <f t="shared" si="97"/>
        <v>0</v>
      </c>
      <c r="J431" s="340"/>
      <c r="K431" s="71"/>
      <c r="L431" s="27"/>
      <c r="M431" s="114"/>
    </row>
    <row r="432" spans="1:13" ht="15" thickBot="1" x14ac:dyDescent="0.35">
      <c r="A432" s="340"/>
      <c r="B432" s="288"/>
      <c r="C432" s="288"/>
      <c r="D432" s="288"/>
      <c r="E432" s="288"/>
      <c r="F432" s="350" t="s">
        <v>17</v>
      </c>
      <c r="G432" s="350"/>
      <c r="H432" s="56">
        <f>SUM(H427:H431)</f>
        <v>400</v>
      </c>
      <c r="I432" s="56">
        <f>SUM(I427:I431)</f>
        <v>400</v>
      </c>
      <c r="J432" s="56"/>
      <c r="K432" s="79">
        <f>J427-I432</f>
        <v>0</v>
      </c>
      <c r="L432" s="56"/>
      <c r="M432" s="114"/>
    </row>
    <row r="433" spans="1:13" ht="15" thickTop="1" x14ac:dyDescent="0.3">
      <c r="A433" s="241">
        <v>72</v>
      </c>
      <c r="B433" s="328" t="s">
        <v>262</v>
      </c>
      <c r="C433" s="286" t="s">
        <v>141</v>
      </c>
      <c r="D433" s="286" t="s">
        <v>81</v>
      </c>
      <c r="E433" s="292" t="s">
        <v>261</v>
      </c>
      <c r="F433" s="16">
        <v>6727</v>
      </c>
      <c r="G433" s="27" t="s">
        <v>259</v>
      </c>
      <c r="H433" s="16">
        <v>200</v>
      </c>
      <c r="I433" s="16">
        <f t="shared" ref="I433:I437" si="98">SUM(H433:H433)</f>
        <v>200</v>
      </c>
      <c r="J433" s="340">
        <v>200</v>
      </c>
      <c r="K433" s="71"/>
      <c r="L433" s="16" t="s">
        <v>253</v>
      </c>
      <c r="M433" s="114"/>
    </row>
    <row r="434" spans="1:13" x14ac:dyDescent="0.3">
      <c r="A434" s="241"/>
      <c r="B434" s="287"/>
      <c r="C434" s="287"/>
      <c r="D434" s="287"/>
      <c r="E434" s="287"/>
      <c r="F434" s="16"/>
      <c r="G434" s="27"/>
      <c r="H434" s="16"/>
      <c r="I434" s="16">
        <f t="shared" si="98"/>
        <v>0</v>
      </c>
      <c r="J434" s="340"/>
      <c r="K434" s="71"/>
      <c r="L434" s="46" t="s">
        <v>85</v>
      </c>
      <c r="M434" s="114"/>
    </row>
    <row r="435" spans="1:13" x14ac:dyDescent="0.3">
      <c r="A435" s="241"/>
      <c r="B435" s="287"/>
      <c r="C435" s="287"/>
      <c r="D435" s="287"/>
      <c r="E435" s="287"/>
      <c r="F435" s="16"/>
      <c r="G435" s="18"/>
      <c r="H435" s="16"/>
      <c r="I435" s="16">
        <f t="shared" si="98"/>
        <v>0</v>
      </c>
      <c r="J435" s="340"/>
      <c r="K435" s="71"/>
      <c r="L435" s="46" t="s">
        <v>86</v>
      </c>
      <c r="M435" s="114"/>
    </row>
    <row r="436" spans="1:13" x14ac:dyDescent="0.3">
      <c r="A436" s="241"/>
      <c r="B436" s="287"/>
      <c r="C436" s="287"/>
      <c r="D436" s="287"/>
      <c r="E436" s="287"/>
      <c r="F436" s="16"/>
      <c r="G436" s="16"/>
      <c r="H436" s="16"/>
      <c r="I436" s="16">
        <f t="shared" si="98"/>
        <v>0</v>
      </c>
      <c r="J436" s="340"/>
      <c r="K436" s="71"/>
      <c r="L436" s="16"/>
      <c r="M436" s="114"/>
    </row>
    <row r="437" spans="1:13" x14ac:dyDescent="0.3">
      <c r="A437" s="241"/>
      <c r="B437" s="287"/>
      <c r="C437" s="287"/>
      <c r="D437" s="287"/>
      <c r="E437" s="287"/>
      <c r="F437" s="16"/>
      <c r="G437" s="16"/>
      <c r="H437" s="16"/>
      <c r="I437" s="16">
        <f t="shared" si="98"/>
        <v>0</v>
      </c>
      <c r="J437" s="340"/>
      <c r="K437" s="71"/>
      <c r="L437" s="27"/>
      <c r="M437" s="114"/>
    </row>
    <row r="438" spans="1:13" ht="15" thickBot="1" x14ac:dyDescent="0.35">
      <c r="A438" s="242"/>
      <c r="B438" s="288"/>
      <c r="C438" s="288"/>
      <c r="D438" s="288"/>
      <c r="E438" s="288"/>
      <c r="F438" s="350" t="s">
        <v>17</v>
      </c>
      <c r="G438" s="350"/>
      <c r="H438" s="56">
        <f>SUM(H433:H437)</f>
        <v>200</v>
      </c>
      <c r="I438" s="56">
        <f>SUM(I433:I437)</f>
        <v>200</v>
      </c>
      <c r="J438" s="56"/>
      <c r="K438" s="79">
        <f>J433-I438</f>
        <v>0</v>
      </c>
      <c r="L438" s="56"/>
      <c r="M438" s="114"/>
    </row>
    <row r="439" spans="1:13" ht="15" thickTop="1" x14ac:dyDescent="0.3">
      <c r="A439" s="340">
        <f t="shared" ref="A439" si="99">1+A433</f>
        <v>73</v>
      </c>
      <c r="B439" s="328" t="s">
        <v>263</v>
      </c>
      <c r="C439" s="286" t="s">
        <v>141</v>
      </c>
      <c r="D439" s="286" t="s">
        <v>81</v>
      </c>
      <c r="E439" s="292" t="s">
        <v>261</v>
      </c>
      <c r="F439" s="16">
        <v>6728</v>
      </c>
      <c r="G439" s="27" t="s">
        <v>259</v>
      </c>
      <c r="H439" s="16">
        <v>100</v>
      </c>
      <c r="I439" s="16">
        <f t="shared" ref="I439:I443" si="100">SUM(H439:H439)</f>
        <v>100</v>
      </c>
      <c r="J439" s="340">
        <v>100</v>
      </c>
      <c r="K439" s="71"/>
      <c r="L439" s="16" t="s">
        <v>253</v>
      </c>
      <c r="M439" s="114"/>
    </row>
    <row r="440" spans="1:13" x14ac:dyDescent="0.3">
      <c r="A440" s="340"/>
      <c r="B440" s="287"/>
      <c r="C440" s="287"/>
      <c r="D440" s="287"/>
      <c r="E440" s="287"/>
      <c r="F440" s="16"/>
      <c r="G440" s="27"/>
      <c r="H440" s="16"/>
      <c r="I440" s="16">
        <f t="shared" si="100"/>
        <v>0</v>
      </c>
      <c r="J440" s="340"/>
      <c r="K440" s="71"/>
      <c r="L440" s="46" t="s">
        <v>85</v>
      </c>
      <c r="M440" s="114"/>
    </row>
    <row r="441" spans="1:13" x14ac:dyDescent="0.3">
      <c r="A441" s="340"/>
      <c r="B441" s="287"/>
      <c r="C441" s="287"/>
      <c r="D441" s="287"/>
      <c r="E441" s="287"/>
      <c r="F441" s="16"/>
      <c r="G441" s="18"/>
      <c r="H441" s="16"/>
      <c r="I441" s="16">
        <f t="shared" si="100"/>
        <v>0</v>
      </c>
      <c r="J441" s="340"/>
      <c r="K441" s="71"/>
      <c r="L441" s="46" t="s">
        <v>86</v>
      </c>
      <c r="M441" s="114"/>
    </row>
    <row r="442" spans="1:13" x14ac:dyDescent="0.3">
      <c r="A442" s="340"/>
      <c r="B442" s="287"/>
      <c r="C442" s="287"/>
      <c r="D442" s="287"/>
      <c r="E442" s="287"/>
      <c r="F442" s="16"/>
      <c r="G442" s="16"/>
      <c r="H442" s="16"/>
      <c r="I442" s="16">
        <f t="shared" si="100"/>
        <v>0</v>
      </c>
      <c r="J442" s="340"/>
      <c r="K442" s="71"/>
      <c r="L442" s="16"/>
      <c r="M442" s="114"/>
    </row>
    <row r="443" spans="1:13" x14ac:dyDescent="0.3">
      <c r="A443" s="340"/>
      <c r="B443" s="287"/>
      <c r="C443" s="287"/>
      <c r="D443" s="287"/>
      <c r="E443" s="287"/>
      <c r="F443" s="16"/>
      <c r="G443" s="16"/>
      <c r="H443" s="16"/>
      <c r="I443" s="16">
        <f t="shared" si="100"/>
        <v>0</v>
      </c>
      <c r="J443" s="340"/>
      <c r="K443" s="71"/>
      <c r="L443" s="27"/>
      <c r="M443" s="114"/>
    </row>
    <row r="444" spans="1:13" ht="15" thickBot="1" x14ac:dyDescent="0.35">
      <c r="A444" s="340"/>
      <c r="B444" s="288"/>
      <c r="C444" s="288"/>
      <c r="D444" s="288"/>
      <c r="E444" s="288"/>
      <c r="F444" s="350" t="s">
        <v>17</v>
      </c>
      <c r="G444" s="350"/>
      <c r="H444" s="56">
        <f>SUM(H439:H443)</f>
        <v>100</v>
      </c>
      <c r="I444" s="56">
        <f>SUM(I439:I443)</f>
        <v>100</v>
      </c>
      <c r="J444" s="56"/>
      <c r="K444" s="79">
        <f>J439-I444</f>
        <v>0</v>
      </c>
      <c r="L444" s="56"/>
      <c r="M444" s="114"/>
    </row>
    <row r="445" spans="1:13" ht="15" thickTop="1" x14ac:dyDescent="0.3">
      <c r="A445" s="241">
        <v>74</v>
      </c>
      <c r="B445" s="328" t="s">
        <v>267</v>
      </c>
      <c r="C445" s="286" t="s">
        <v>102</v>
      </c>
      <c r="D445" s="286" t="s">
        <v>265</v>
      </c>
      <c r="E445" s="292" t="s">
        <v>266</v>
      </c>
      <c r="F445" s="16">
        <v>6729</v>
      </c>
      <c r="G445" s="27" t="s">
        <v>268</v>
      </c>
      <c r="H445" s="16">
        <v>100</v>
      </c>
      <c r="I445" s="16">
        <f t="shared" ref="I445:I449" si="101">SUM(H445:H445)</f>
        <v>100</v>
      </c>
      <c r="J445" s="340">
        <v>100</v>
      </c>
      <c r="K445" s="71"/>
      <c r="L445" s="16" t="s">
        <v>253</v>
      </c>
      <c r="M445" s="114"/>
    </row>
    <row r="446" spans="1:13" x14ac:dyDescent="0.3">
      <c r="A446" s="241"/>
      <c r="B446" s="287"/>
      <c r="C446" s="287"/>
      <c r="D446" s="287"/>
      <c r="E446" s="287"/>
      <c r="F446" s="16"/>
      <c r="G446" s="27"/>
      <c r="H446" s="16"/>
      <c r="I446" s="16">
        <f t="shared" si="101"/>
        <v>0</v>
      </c>
      <c r="J446" s="340"/>
      <c r="K446" s="71"/>
      <c r="L446" s="46" t="s">
        <v>85</v>
      </c>
      <c r="M446" s="114"/>
    </row>
    <row r="447" spans="1:13" x14ac:dyDescent="0.3">
      <c r="A447" s="241"/>
      <c r="B447" s="287"/>
      <c r="C447" s="287"/>
      <c r="D447" s="287"/>
      <c r="E447" s="287"/>
      <c r="F447" s="16"/>
      <c r="G447" s="18"/>
      <c r="H447" s="16"/>
      <c r="I447" s="16">
        <f t="shared" si="101"/>
        <v>0</v>
      </c>
      <c r="J447" s="340"/>
      <c r="K447" s="71"/>
      <c r="L447" s="46" t="s">
        <v>86</v>
      </c>
      <c r="M447" s="114"/>
    </row>
    <row r="448" spans="1:13" x14ac:dyDescent="0.3">
      <c r="A448" s="241"/>
      <c r="B448" s="287"/>
      <c r="C448" s="287"/>
      <c r="D448" s="287"/>
      <c r="E448" s="287"/>
      <c r="F448" s="16"/>
      <c r="G448" s="16"/>
      <c r="H448" s="16"/>
      <c r="I448" s="16">
        <f t="shared" si="101"/>
        <v>0</v>
      </c>
      <c r="J448" s="340"/>
      <c r="K448" s="71"/>
      <c r="L448" s="16"/>
      <c r="M448" s="114"/>
    </row>
    <row r="449" spans="1:13" x14ac:dyDescent="0.3">
      <c r="A449" s="241"/>
      <c r="B449" s="287"/>
      <c r="C449" s="287"/>
      <c r="D449" s="287"/>
      <c r="E449" s="287"/>
      <c r="F449" s="16"/>
      <c r="G449" s="16"/>
      <c r="H449" s="16"/>
      <c r="I449" s="16">
        <f t="shared" si="101"/>
        <v>0</v>
      </c>
      <c r="J449" s="340"/>
      <c r="K449" s="71"/>
      <c r="L449" s="27"/>
      <c r="M449" s="114"/>
    </row>
    <row r="450" spans="1:13" ht="15" thickBot="1" x14ac:dyDescent="0.35">
      <c r="A450" s="242"/>
      <c r="B450" s="288"/>
      <c r="C450" s="288"/>
      <c r="D450" s="288"/>
      <c r="E450" s="288"/>
      <c r="F450" s="350" t="s">
        <v>17</v>
      </c>
      <c r="G450" s="350"/>
      <c r="H450" s="56">
        <f>SUM(H445:H449)</f>
        <v>100</v>
      </c>
      <c r="I450" s="56">
        <f>SUM(I445:I449)</f>
        <v>100</v>
      </c>
      <c r="J450" s="56"/>
      <c r="K450" s="79">
        <f>J445-I450</f>
        <v>0</v>
      </c>
      <c r="L450" s="56"/>
      <c r="M450" s="114"/>
    </row>
    <row r="451" spans="1:13" ht="15.75" customHeight="1" thickTop="1" x14ac:dyDescent="0.3">
      <c r="A451" s="340">
        <f t="shared" ref="A451" si="102">1+A445</f>
        <v>75</v>
      </c>
      <c r="B451" s="328" t="s">
        <v>264</v>
      </c>
      <c r="C451" s="286" t="s">
        <v>102</v>
      </c>
      <c r="D451" s="286" t="s">
        <v>265</v>
      </c>
      <c r="E451" s="292" t="s">
        <v>266</v>
      </c>
      <c r="F451" s="16">
        <v>6730</v>
      </c>
      <c r="G451" s="27" t="s">
        <v>268</v>
      </c>
      <c r="H451" s="16">
        <v>100</v>
      </c>
      <c r="I451" s="16">
        <f t="shared" ref="I451:I455" si="103">SUM(H451:H451)</f>
        <v>100</v>
      </c>
      <c r="J451" s="340">
        <v>100</v>
      </c>
      <c r="K451" s="71"/>
      <c r="L451" s="16" t="s">
        <v>253</v>
      </c>
      <c r="M451" s="114"/>
    </row>
    <row r="452" spans="1:13" x14ac:dyDescent="0.3">
      <c r="A452" s="340"/>
      <c r="B452" s="287"/>
      <c r="C452" s="287"/>
      <c r="D452" s="287"/>
      <c r="E452" s="287"/>
      <c r="F452" s="16"/>
      <c r="G452" s="27"/>
      <c r="H452" s="16"/>
      <c r="I452" s="16">
        <f t="shared" si="103"/>
        <v>0</v>
      </c>
      <c r="J452" s="340"/>
      <c r="K452" s="71"/>
      <c r="L452" s="46" t="s">
        <v>85</v>
      </c>
      <c r="M452" s="114"/>
    </row>
    <row r="453" spans="1:13" x14ac:dyDescent="0.3">
      <c r="A453" s="340"/>
      <c r="B453" s="287"/>
      <c r="C453" s="287"/>
      <c r="D453" s="287"/>
      <c r="E453" s="287"/>
      <c r="F453" s="16"/>
      <c r="G453" s="18"/>
      <c r="H453" s="16"/>
      <c r="I453" s="16">
        <f t="shared" si="103"/>
        <v>0</v>
      </c>
      <c r="J453" s="340"/>
      <c r="K453" s="71"/>
      <c r="L453" s="46" t="s">
        <v>86</v>
      </c>
      <c r="M453" s="114"/>
    </row>
    <row r="454" spans="1:13" x14ac:dyDescent="0.3">
      <c r="A454" s="340"/>
      <c r="B454" s="287"/>
      <c r="C454" s="287"/>
      <c r="D454" s="287"/>
      <c r="E454" s="287"/>
      <c r="F454" s="16"/>
      <c r="G454" s="16"/>
      <c r="H454" s="16"/>
      <c r="I454" s="16">
        <f t="shared" si="103"/>
        <v>0</v>
      </c>
      <c r="J454" s="340"/>
      <c r="K454" s="71"/>
      <c r="L454" s="16"/>
      <c r="M454" s="114"/>
    </row>
    <row r="455" spans="1:13" x14ac:dyDescent="0.3">
      <c r="A455" s="340"/>
      <c r="B455" s="287"/>
      <c r="C455" s="287"/>
      <c r="D455" s="287"/>
      <c r="E455" s="287"/>
      <c r="F455" s="16"/>
      <c r="G455" s="16"/>
      <c r="H455" s="16"/>
      <c r="I455" s="16">
        <f t="shared" si="103"/>
        <v>0</v>
      </c>
      <c r="J455" s="340"/>
      <c r="K455" s="71"/>
      <c r="L455" s="27"/>
      <c r="M455" s="114"/>
    </row>
    <row r="456" spans="1:13" ht="15" thickBot="1" x14ac:dyDescent="0.35">
      <c r="A456" s="340"/>
      <c r="B456" s="288"/>
      <c r="C456" s="288"/>
      <c r="D456" s="288"/>
      <c r="E456" s="288"/>
      <c r="F456" s="350" t="s">
        <v>17</v>
      </c>
      <c r="G456" s="350"/>
      <c r="H456" s="56">
        <f>SUM(H451:H455)</f>
        <v>100</v>
      </c>
      <c r="I456" s="56">
        <f>SUM(I451:I455)</f>
        <v>100</v>
      </c>
      <c r="J456" s="56"/>
      <c r="K456" s="79">
        <f>J451-I456</f>
        <v>0</v>
      </c>
      <c r="L456" s="56"/>
      <c r="M456" s="114"/>
    </row>
    <row r="457" spans="1:13" ht="15.75" customHeight="1" thickTop="1" x14ac:dyDescent="0.3">
      <c r="A457" s="241">
        <v>76</v>
      </c>
      <c r="B457" s="328" t="s">
        <v>271</v>
      </c>
      <c r="C457" s="286" t="s">
        <v>141</v>
      </c>
      <c r="D457" s="286" t="s">
        <v>273</v>
      </c>
      <c r="E457" s="292" t="s">
        <v>269</v>
      </c>
      <c r="F457" s="16">
        <v>6731</v>
      </c>
      <c r="G457" s="27" t="s">
        <v>270</v>
      </c>
      <c r="H457" s="16">
        <v>1450</v>
      </c>
      <c r="I457" s="16">
        <f t="shared" ref="I457:I461" si="104">SUM(H457:H457)</f>
        <v>1450</v>
      </c>
      <c r="J457" s="340">
        <v>1450</v>
      </c>
      <c r="K457" s="71"/>
      <c r="L457" s="16" t="s">
        <v>84</v>
      </c>
      <c r="M457" s="114"/>
    </row>
    <row r="458" spans="1:13" x14ac:dyDescent="0.3">
      <c r="A458" s="241"/>
      <c r="B458" s="287"/>
      <c r="C458" s="287"/>
      <c r="D458" s="287"/>
      <c r="E458" s="287"/>
      <c r="F458" s="16"/>
      <c r="G458" s="27"/>
      <c r="H458" s="16"/>
      <c r="I458" s="16">
        <f t="shared" si="104"/>
        <v>0</v>
      </c>
      <c r="J458" s="340"/>
      <c r="K458" s="71"/>
      <c r="L458" s="46" t="s">
        <v>85</v>
      </c>
      <c r="M458" s="114"/>
    </row>
    <row r="459" spans="1:13" x14ac:dyDescent="0.3">
      <c r="A459" s="241"/>
      <c r="B459" s="287"/>
      <c r="C459" s="287"/>
      <c r="D459" s="287"/>
      <c r="E459" s="287"/>
      <c r="F459" s="16"/>
      <c r="G459" s="18"/>
      <c r="H459" s="16"/>
      <c r="I459" s="16">
        <f t="shared" si="104"/>
        <v>0</v>
      </c>
      <c r="J459" s="340"/>
      <c r="K459" s="71"/>
      <c r="L459" s="46" t="s">
        <v>86</v>
      </c>
      <c r="M459" s="114"/>
    </row>
    <row r="460" spans="1:13" x14ac:dyDescent="0.3">
      <c r="A460" s="241"/>
      <c r="B460" s="287"/>
      <c r="C460" s="287"/>
      <c r="D460" s="287"/>
      <c r="E460" s="287"/>
      <c r="F460" s="16"/>
      <c r="G460" s="16"/>
      <c r="H460" s="16"/>
      <c r="I460" s="16">
        <f t="shared" si="104"/>
        <v>0</v>
      </c>
      <c r="J460" s="340"/>
      <c r="K460" s="71"/>
      <c r="L460" s="16"/>
      <c r="M460" s="114"/>
    </row>
    <row r="461" spans="1:13" x14ac:dyDescent="0.3">
      <c r="A461" s="241"/>
      <c r="B461" s="287"/>
      <c r="C461" s="287"/>
      <c r="D461" s="287"/>
      <c r="E461" s="287"/>
      <c r="F461" s="16"/>
      <c r="G461" s="16"/>
      <c r="H461" s="16"/>
      <c r="I461" s="16">
        <f t="shared" si="104"/>
        <v>0</v>
      </c>
      <c r="J461" s="340"/>
      <c r="K461" s="71"/>
      <c r="L461" s="27"/>
      <c r="M461" s="114"/>
    </row>
    <row r="462" spans="1:13" ht="15" thickBot="1" x14ac:dyDescent="0.35">
      <c r="A462" s="242"/>
      <c r="B462" s="288"/>
      <c r="C462" s="288"/>
      <c r="D462" s="288"/>
      <c r="E462" s="288"/>
      <c r="F462" s="350" t="s">
        <v>17</v>
      </c>
      <c r="G462" s="350"/>
      <c r="H462" s="56">
        <f>SUM(H457:H461)</f>
        <v>1450</v>
      </c>
      <c r="I462" s="56">
        <f>SUM(I457:I461)</f>
        <v>1450</v>
      </c>
      <c r="J462" s="56"/>
      <c r="K462" s="79">
        <f>J457-I462</f>
        <v>0</v>
      </c>
      <c r="L462" s="56"/>
      <c r="M462" s="114"/>
    </row>
    <row r="463" spans="1:13" ht="15.75" customHeight="1" thickTop="1" x14ac:dyDescent="0.3">
      <c r="A463" s="340">
        <f t="shared" ref="A463" si="105">1+A457</f>
        <v>77</v>
      </c>
      <c r="B463" s="328" t="s">
        <v>272</v>
      </c>
      <c r="C463" s="286" t="s">
        <v>181</v>
      </c>
      <c r="D463" s="286" t="s">
        <v>273</v>
      </c>
      <c r="E463" s="292" t="s">
        <v>274</v>
      </c>
      <c r="F463" s="16">
        <v>6697</v>
      </c>
      <c r="G463" s="27" t="s">
        <v>275</v>
      </c>
      <c r="H463" s="16">
        <v>1450</v>
      </c>
      <c r="I463" s="16">
        <f t="shared" ref="I463:I467" si="106">SUM(H463:H463)</f>
        <v>1450</v>
      </c>
      <c r="J463" s="340">
        <v>1450</v>
      </c>
      <c r="K463" s="71"/>
      <c r="L463" s="16" t="s">
        <v>84</v>
      </c>
      <c r="M463" s="114"/>
    </row>
    <row r="464" spans="1:13" x14ac:dyDescent="0.3">
      <c r="A464" s="340"/>
      <c r="B464" s="287"/>
      <c r="C464" s="287"/>
      <c r="D464" s="287"/>
      <c r="E464" s="287"/>
      <c r="F464" s="16"/>
      <c r="G464" s="27"/>
      <c r="H464" s="16"/>
      <c r="I464" s="16">
        <f t="shared" si="106"/>
        <v>0</v>
      </c>
      <c r="J464" s="340"/>
      <c r="K464" s="71"/>
      <c r="L464" s="46" t="s">
        <v>85</v>
      </c>
      <c r="M464" s="114"/>
    </row>
    <row r="465" spans="1:13" x14ac:dyDescent="0.3">
      <c r="A465" s="340"/>
      <c r="B465" s="287"/>
      <c r="C465" s="287"/>
      <c r="D465" s="287"/>
      <c r="E465" s="287"/>
      <c r="F465" s="16"/>
      <c r="G465" s="18"/>
      <c r="H465" s="16"/>
      <c r="I465" s="16">
        <f t="shared" si="106"/>
        <v>0</v>
      </c>
      <c r="J465" s="340"/>
      <c r="K465" s="71"/>
      <c r="L465" s="46" t="s">
        <v>86</v>
      </c>
      <c r="M465" s="114"/>
    </row>
    <row r="466" spans="1:13" x14ac:dyDescent="0.3">
      <c r="A466" s="340"/>
      <c r="B466" s="287"/>
      <c r="C466" s="287"/>
      <c r="D466" s="287"/>
      <c r="E466" s="287"/>
      <c r="F466" s="16"/>
      <c r="G466" s="16"/>
      <c r="H466" s="16"/>
      <c r="I466" s="16">
        <f t="shared" si="106"/>
        <v>0</v>
      </c>
      <c r="J466" s="340"/>
      <c r="K466" s="71"/>
      <c r="L466" s="16"/>
      <c r="M466" s="114"/>
    </row>
    <row r="467" spans="1:13" x14ac:dyDescent="0.3">
      <c r="A467" s="340"/>
      <c r="B467" s="287"/>
      <c r="C467" s="287"/>
      <c r="D467" s="287"/>
      <c r="E467" s="287"/>
      <c r="F467" s="16"/>
      <c r="G467" s="16"/>
      <c r="H467" s="16"/>
      <c r="I467" s="16">
        <f t="shared" si="106"/>
        <v>0</v>
      </c>
      <c r="J467" s="340"/>
      <c r="K467" s="71"/>
      <c r="L467" s="27"/>
      <c r="M467" s="114"/>
    </row>
    <row r="468" spans="1:13" ht="15" thickBot="1" x14ac:dyDescent="0.35">
      <c r="A468" s="340"/>
      <c r="B468" s="288"/>
      <c r="C468" s="288"/>
      <c r="D468" s="288"/>
      <c r="E468" s="288"/>
      <c r="F468" s="350" t="s">
        <v>17</v>
      </c>
      <c r="G468" s="350"/>
      <c r="H468" s="56">
        <f>SUM(H463:H467)</f>
        <v>1450</v>
      </c>
      <c r="I468" s="56">
        <f>SUM(I463:I467)</f>
        <v>1450</v>
      </c>
      <c r="J468" s="56"/>
      <c r="K468" s="79">
        <f>J463-I468</f>
        <v>0</v>
      </c>
      <c r="L468" s="56"/>
      <c r="M468" s="114"/>
    </row>
    <row r="469" spans="1:13" ht="15.75" customHeight="1" thickTop="1" x14ac:dyDescent="0.3">
      <c r="A469" s="241">
        <v>78</v>
      </c>
      <c r="B469" s="328" t="s">
        <v>276</v>
      </c>
      <c r="C469" s="286" t="s">
        <v>277</v>
      </c>
      <c r="D469" s="286" t="s">
        <v>273</v>
      </c>
      <c r="E469" s="292" t="s">
        <v>278</v>
      </c>
      <c r="F469" s="16">
        <v>6743</v>
      </c>
      <c r="G469" s="27" t="s">
        <v>279</v>
      </c>
      <c r="H469" s="16">
        <v>1450</v>
      </c>
      <c r="I469" s="16">
        <f t="shared" ref="I469:I473" si="107">SUM(H469:H469)</f>
        <v>1450</v>
      </c>
      <c r="J469" s="340">
        <v>1450</v>
      </c>
      <c r="K469" s="71"/>
      <c r="L469" s="16" t="s">
        <v>84</v>
      </c>
      <c r="M469" s="114"/>
    </row>
    <row r="470" spans="1:13" x14ac:dyDescent="0.3">
      <c r="A470" s="241"/>
      <c r="B470" s="287"/>
      <c r="C470" s="287"/>
      <c r="D470" s="287"/>
      <c r="E470" s="287"/>
      <c r="F470" s="16"/>
      <c r="G470" s="27"/>
      <c r="H470" s="16"/>
      <c r="I470" s="16">
        <f t="shared" si="107"/>
        <v>0</v>
      </c>
      <c r="J470" s="340"/>
      <c r="K470" s="71"/>
      <c r="L470" s="46" t="s">
        <v>85</v>
      </c>
      <c r="M470" s="114"/>
    </row>
    <row r="471" spans="1:13" x14ac:dyDescent="0.3">
      <c r="A471" s="241"/>
      <c r="B471" s="287"/>
      <c r="C471" s="287"/>
      <c r="D471" s="287"/>
      <c r="E471" s="287"/>
      <c r="F471" s="16"/>
      <c r="G471" s="18"/>
      <c r="H471" s="16"/>
      <c r="I471" s="16">
        <f t="shared" si="107"/>
        <v>0</v>
      </c>
      <c r="J471" s="340"/>
      <c r="K471" s="71"/>
      <c r="L471" s="46" t="s">
        <v>86</v>
      </c>
      <c r="M471" s="114"/>
    </row>
    <row r="472" spans="1:13" x14ac:dyDescent="0.3">
      <c r="A472" s="241"/>
      <c r="B472" s="287"/>
      <c r="C472" s="287"/>
      <c r="D472" s="287"/>
      <c r="E472" s="287"/>
      <c r="F472" s="16"/>
      <c r="G472" s="16"/>
      <c r="H472" s="16"/>
      <c r="I472" s="16">
        <f t="shared" si="107"/>
        <v>0</v>
      </c>
      <c r="J472" s="340"/>
      <c r="K472" s="71"/>
      <c r="L472" s="16"/>
      <c r="M472" s="114"/>
    </row>
    <row r="473" spans="1:13" x14ac:dyDescent="0.3">
      <c r="A473" s="241"/>
      <c r="B473" s="287"/>
      <c r="C473" s="287"/>
      <c r="D473" s="287"/>
      <c r="E473" s="287"/>
      <c r="F473" s="16"/>
      <c r="G473" s="16"/>
      <c r="H473" s="16"/>
      <c r="I473" s="16">
        <f t="shared" si="107"/>
        <v>0</v>
      </c>
      <c r="J473" s="340"/>
      <c r="K473" s="71"/>
      <c r="L473" s="27"/>
      <c r="M473" s="114"/>
    </row>
    <row r="474" spans="1:13" ht="15" thickBot="1" x14ac:dyDescent="0.35">
      <c r="A474" s="242"/>
      <c r="B474" s="288"/>
      <c r="C474" s="288"/>
      <c r="D474" s="288"/>
      <c r="E474" s="288"/>
      <c r="F474" s="350" t="s">
        <v>17</v>
      </c>
      <c r="G474" s="350"/>
      <c r="H474" s="56">
        <f>SUM(H469:H473)</f>
        <v>1450</v>
      </c>
      <c r="I474" s="56">
        <f>SUM(I469:I473)</f>
        <v>1450</v>
      </c>
      <c r="J474" s="56"/>
      <c r="K474" s="79">
        <f>J469-I474</f>
        <v>0</v>
      </c>
      <c r="L474" s="56"/>
      <c r="M474" s="114"/>
    </row>
    <row r="475" spans="1:13" ht="15.75" customHeight="1" thickTop="1" x14ac:dyDescent="0.3">
      <c r="A475" s="340">
        <f t="shared" ref="A475" si="108">1+A469</f>
        <v>79</v>
      </c>
      <c r="B475" s="328" t="s">
        <v>280</v>
      </c>
      <c r="C475" s="286" t="s">
        <v>185</v>
      </c>
      <c r="D475" s="286" t="s">
        <v>273</v>
      </c>
      <c r="E475" s="292" t="s">
        <v>281</v>
      </c>
      <c r="F475" s="16">
        <v>6748</v>
      </c>
      <c r="G475" s="27" t="s">
        <v>282</v>
      </c>
      <c r="H475" s="16">
        <v>1450</v>
      </c>
      <c r="I475" s="16">
        <f t="shared" ref="I475:I479" si="109">SUM(H475:H475)</f>
        <v>1450</v>
      </c>
      <c r="J475" s="340">
        <v>1450</v>
      </c>
      <c r="K475" s="71"/>
      <c r="L475" s="16" t="s">
        <v>84</v>
      </c>
      <c r="M475" s="114"/>
    </row>
    <row r="476" spans="1:13" x14ac:dyDescent="0.3">
      <c r="A476" s="340"/>
      <c r="B476" s="287"/>
      <c r="C476" s="287"/>
      <c r="D476" s="287"/>
      <c r="E476" s="287"/>
      <c r="F476" s="16"/>
      <c r="G476" s="27"/>
      <c r="H476" s="16"/>
      <c r="I476" s="16">
        <f t="shared" si="109"/>
        <v>0</v>
      </c>
      <c r="J476" s="340"/>
      <c r="K476" s="71"/>
      <c r="L476" s="46" t="s">
        <v>85</v>
      </c>
      <c r="M476" s="114"/>
    </row>
    <row r="477" spans="1:13" x14ac:dyDescent="0.3">
      <c r="A477" s="340"/>
      <c r="B477" s="287"/>
      <c r="C477" s="287"/>
      <c r="D477" s="287"/>
      <c r="E477" s="287"/>
      <c r="F477" s="16"/>
      <c r="G477" s="18"/>
      <c r="H477" s="16"/>
      <c r="I477" s="16">
        <f t="shared" si="109"/>
        <v>0</v>
      </c>
      <c r="J477" s="340"/>
      <c r="K477" s="71"/>
      <c r="L477" s="46" t="s">
        <v>86</v>
      </c>
      <c r="M477" s="114"/>
    </row>
    <row r="478" spans="1:13" x14ac:dyDescent="0.3">
      <c r="A478" s="340"/>
      <c r="B478" s="287"/>
      <c r="C478" s="287"/>
      <c r="D478" s="287"/>
      <c r="E478" s="287"/>
      <c r="F478" s="16"/>
      <c r="G478" s="16"/>
      <c r="H478" s="16"/>
      <c r="I478" s="16">
        <f t="shared" si="109"/>
        <v>0</v>
      </c>
      <c r="J478" s="340"/>
      <c r="K478" s="71"/>
      <c r="L478" s="16"/>
      <c r="M478" s="114"/>
    </row>
    <row r="479" spans="1:13" x14ac:dyDescent="0.3">
      <c r="A479" s="340"/>
      <c r="B479" s="287"/>
      <c r="C479" s="287"/>
      <c r="D479" s="287"/>
      <c r="E479" s="287"/>
      <c r="F479" s="16"/>
      <c r="G479" s="16"/>
      <c r="H479" s="16"/>
      <c r="I479" s="16">
        <f t="shared" si="109"/>
        <v>0</v>
      </c>
      <c r="J479" s="340"/>
      <c r="K479" s="71"/>
      <c r="L479" s="27"/>
      <c r="M479" s="114"/>
    </row>
    <row r="480" spans="1:13" ht="15" thickBot="1" x14ac:dyDescent="0.35">
      <c r="A480" s="340"/>
      <c r="B480" s="288"/>
      <c r="C480" s="288"/>
      <c r="D480" s="288"/>
      <c r="E480" s="288"/>
      <c r="F480" s="350" t="s">
        <v>17</v>
      </c>
      <c r="G480" s="350"/>
      <c r="H480" s="56">
        <f>SUM(H475:H479)</f>
        <v>1450</v>
      </c>
      <c r="I480" s="56">
        <f>SUM(I475:I479)</f>
        <v>1450</v>
      </c>
      <c r="J480" s="56"/>
      <c r="K480" s="79">
        <f>J475-I480</f>
        <v>0</v>
      </c>
      <c r="L480" s="56"/>
      <c r="M480" s="114"/>
    </row>
    <row r="481" spans="1:13" ht="15" thickTop="1" x14ac:dyDescent="0.3">
      <c r="A481" s="241">
        <v>80</v>
      </c>
      <c r="B481" s="328" t="s">
        <v>283</v>
      </c>
      <c r="C481" s="286" t="s">
        <v>141</v>
      </c>
      <c r="D481" s="286" t="s">
        <v>81</v>
      </c>
      <c r="E481" s="292" t="s">
        <v>284</v>
      </c>
      <c r="F481" s="16">
        <v>6754</v>
      </c>
      <c r="G481" s="27" t="s">
        <v>285</v>
      </c>
      <c r="H481" s="16">
        <v>100</v>
      </c>
      <c r="I481" s="16">
        <f t="shared" ref="I481:I485" si="110">SUM(H481:H481)</f>
        <v>100</v>
      </c>
      <c r="J481" s="340">
        <v>100</v>
      </c>
      <c r="K481" s="71"/>
      <c r="L481" s="16" t="s">
        <v>253</v>
      </c>
      <c r="M481" s="114"/>
    </row>
    <row r="482" spans="1:13" x14ac:dyDescent="0.3">
      <c r="A482" s="241"/>
      <c r="B482" s="287"/>
      <c r="C482" s="287"/>
      <c r="D482" s="287"/>
      <c r="E482" s="287"/>
      <c r="F482" s="16"/>
      <c r="G482" s="27"/>
      <c r="H482" s="16"/>
      <c r="I482" s="16">
        <f t="shared" si="110"/>
        <v>0</v>
      </c>
      <c r="J482" s="340"/>
      <c r="K482" s="71"/>
      <c r="L482" s="46" t="s">
        <v>85</v>
      </c>
      <c r="M482" s="114"/>
    </row>
    <row r="483" spans="1:13" x14ac:dyDescent="0.3">
      <c r="A483" s="241"/>
      <c r="B483" s="287"/>
      <c r="C483" s="287"/>
      <c r="D483" s="287"/>
      <c r="E483" s="287"/>
      <c r="F483" s="16"/>
      <c r="G483" s="18"/>
      <c r="H483" s="16"/>
      <c r="I483" s="16">
        <f t="shared" si="110"/>
        <v>0</v>
      </c>
      <c r="J483" s="340"/>
      <c r="K483" s="71"/>
      <c r="L483" s="46" t="s">
        <v>86</v>
      </c>
      <c r="M483" s="114"/>
    </row>
    <row r="484" spans="1:13" x14ac:dyDescent="0.3">
      <c r="A484" s="241"/>
      <c r="B484" s="287"/>
      <c r="C484" s="287"/>
      <c r="D484" s="287"/>
      <c r="E484" s="287"/>
      <c r="F484" s="16"/>
      <c r="G484" s="16"/>
      <c r="H484" s="16"/>
      <c r="I484" s="16">
        <f t="shared" si="110"/>
        <v>0</v>
      </c>
      <c r="J484" s="340"/>
      <c r="K484" s="71"/>
      <c r="L484" s="16"/>
      <c r="M484" s="114"/>
    </row>
    <row r="485" spans="1:13" x14ac:dyDescent="0.3">
      <c r="A485" s="241"/>
      <c r="B485" s="287"/>
      <c r="C485" s="287"/>
      <c r="D485" s="287"/>
      <c r="E485" s="287"/>
      <c r="F485" s="16"/>
      <c r="G485" s="16"/>
      <c r="H485" s="16"/>
      <c r="I485" s="16">
        <f t="shared" si="110"/>
        <v>0</v>
      </c>
      <c r="J485" s="340"/>
      <c r="K485" s="71"/>
      <c r="L485" s="27"/>
      <c r="M485" s="114"/>
    </row>
    <row r="486" spans="1:13" ht="15" thickBot="1" x14ac:dyDescent="0.35">
      <c r="A486" s="242"/>
      <c r="B486" s="288"/>
      <c r="C486" s="288"/>
      <c r="D486" s="288"/>
      <c r="E486" s="288"/>
      <c r="F486" s="350" t="s">
        <v>17</v>
      </c>
      <c r="G486" s="350"/>
      <c r="H486" s="56">
        <f>SUM(H481:H485)</f>
        <v>100</v>
      </c>
      <c r="I486" s="56">
        <f>SUM(I481:I485)</f>
        <v>100</v>
      </c>
      <c r="J486" s="56"/>
      <c r="K486" s="79">
        <f>J481-I486</f>
        <v>0</v>
      </c>
      <c r="L486" s="56"/>
      <c r="M486" s="114"/>
    </row>
    <row r="487" spans="1:13" ht="15.75" customHeight="1" thickTop="1" x14ac:dyDescent="0.3">
      <c r="A487" s="340">
        <f t="shared" ref="A487" si="111">1+A481</f>
        <v>81</v>
      </c>
      <c r="B487" s="328" t="s">
        <v>286</v>
      </c>
      <c r="C487" s="286" t="s">
        <v>141</v>
      </c>
      <c r="D487" s="286" t="s">
        <v>81</v>
      </c>
      <c r="E487" s="292" t="s">
        <v>284</v>
      </c>
      <c r="F487" s="16">
        <v>6755</v>
      </c>
      <c r="G487" s="27" t="s">
        <v>285</v>
      </c>
      <c r="H487" s="16">
        <v>100</v>
      </c>
      <c r="I487" s="16">
        <f t="shared" ref="I487:I491" si="112">SUM(H487:H487)</f>
        <v>100</v>
      </c>
      <c r="J487" s="340">
        <v>100</v>
      </c>
      <c r="K487" s="71"/>
      <c r="L487" s="16" t="s">
        <v>253</v>
      </c>
      <c r="M487" s="114"/>
    </row>
    <row r="488" spans="1:13" x14ac:dyDescent="0.3">
      <c r="A488" s="340"/>
      <c r="B488" s="287"/>
      <c r="C488" s="287"/>
      <c r="D488" s="287"/>
      <c r="E488" s="287"/>
      <c r="F488" s="16"/>
      <c r="G488" s="27"/>
      <c r="H488" s="16"/>
      <c r="I488" s="16">
        <f t="shared" si="112"/>
        <v>0</v>
      </c>
      <c r="J488" s="340"/>
      <c r="K488" s="71"/>
      <c r="L488" s="46" t="s">
        <v>85</v>
      </c>
      <c r="M488" s="114"/>
    </row>
    <row r="489" spans="1:13" x14ac:dyDescent="0.3">
      <c r="A489" s="340"/>
      <c r="B489" s="287"/>
      <c r="C489" s="287"/>
      <c r="D489" s="287"/>
      <c r="E489" s="287"/>
      <c r="F489" s="16"/>
      <c r="G489" s="18"/>
      <c r="H489" s="16"/>
      <c r="I489" s="16">
        <f t="shared" si="112"/>
        <v>0</v>
      </c>
      <c r="J489" s="340"/>
      <c r="K489" s="71"/>
      <c r="L489" s="46" t="s">
        <v>86</v>
      </c>
      <c r="M489" s="114"/>
    </row>
    <row r="490" spans="1:13" x14ac:dyDescent="0.3">
      <c r="A490" s="340"/>
      <c r="B490" s="287"/>
      <c r="C490" s="287"/>
      <c r="D490" s="287"/>
      <c r="E490" s="287"/>
      <c r="F490" s="16"/>
      <c r="G490" s="16"/>
      <c r="H490" s="16"/>
      <c r="I490" s="16">
        <f t="shared" si="112"/>
        <v>0</v>
      </c>
      <c r="J490" s="340"/>
      <c r="K490" s="71"/>
      <c r="L490" s="16"/>
      <c r="M490" s="114"/>
    </row>
    <row r="491" spans="1:13" x14ac:dyDescent="0.3">
      <c r="A491" s="340"/>
      <c r="B491" s="287"/>
      <c r="C491" s="287"/>
      <c r="D491" s="287"/>
      <c r="E491" s="287"/>
      <c r="F491" s="16"/>
      <c r="G491" s="16"/>
      <c r="H491" s="16"/>
      <c r="I491" s="16">
        <f t="shared" si="112"/>
        <v>0</v>
      </c>
      <c r="J491" s="340"/>
      <c r="K491" s="71"/>
      <c r="L491" s="27"/>
      <c r="M491" s="114"/>
    </row>
    <row r="492" spans="1:13" ht="15" thickBot="1" x14ac:dyDescent="0.35">
      <c r="A492" s="340"/>
      <c r="B492" s="288"/>
      <c r="C492" s="288"/>
      <c r="D492" s="288"/>
      <c r="E492" s="288"/>
      <c r="F492" s="350" t="s">
        <v>17</v>
      </c>
      <c r="G492" s="350"/>
      <c r="H492" s="56">
        <f>SUM(H487:H491)</f>
        <v>100</v>
      </c>
      <c r="I492" s="56">
        <f>SUM(I487:I491)</f>
        <v>100</v>
      </c>
      <c r="J492" s="56"/>
      <c r="K492" s="79">
        <f>J487-I492</f>
        <v>0</v>
      </c>
      <c r="L492" s="56"/>
      <c r="M492" s="114"/>
    </row>
    <row r="493" spans="1:13" ht="15" thickTop="1" x14ac:dyDescent="0.3">
      <c r="A493" s="241">
        <v>82</v>
      </c>
      <c r="B493" s="328" t="s">
        <v>287</v>
      </c>
      <c r="C493" s="286" t="s">
        <v>101</v>
      </c>
      <c r="D493" s="286" t="s">
        <v>81</v>
      </c>
      <c r="E493" s="292" t="s">
        <v>288</v>
      </c>
      <c r="F493" s="16">
        <v>6756</v>
      </c>
      <c r="G493" s="27" t="s">
        <v>285</v>
      </c>
      <c r="H493" s="16">
        <v>500</v>
      </c>
      <c r="I493" s="16">
        <f t="shared" ref="I493:I497" si="113">SUM(H493:H493)</f>
        <v>500</v>
      </c>
      <c r="J493" s="340">
        <v>500</v>
      </c>
      <c r="K493" s="71"/>
      <c r="L493" s="16" t="s">
        <v>187</v>
      </c>
      <c r="M493" s="114"/>
    </row>
    <row r="494" spans="1:13" x14ac:dyDescent="0.3">
      <c r="A494" s="241"/>
      <c r="B494" s="287"/>
      <c r="C494" s="287"/>
      <c r="D494" s="287"/>
      <c r="E494" s="287"/>
      <c r="F494" s="16"/>
      <c r="G494" s="27"/>
      <c r="H494" s="16"/>
      <c r="I494" s="16">
        <f t="shared" si="113"/>
        <v>0</v>
      </c>
      <c r="J494" s="340"/>
      <c r="K494" s="71"/>
      <c r="L494" s="46" t="s">
        <v>85</v>
      </c>
      <c r="M494" s="114"/>
    </row>
    <row r="495" spans="1:13" x14ac:dyDescent="0.3">
      <c r="A495" s="241"/>
      <c r="B495" s="287"/>
      <c r="C495" s="287"/>
      <c r="D495" s="287"/>
      <c r="E495" s="287"/>
      <c r="F495" s="16"/>
      <c r="G495" s="18"/>
      <c r="H495" s="16"/>
      <c r="I495" s="16">
        <f t="shared" si="113"/>
        <v>0</v>
      </c>
      <c r="J495" s="340"/>
      <c r="K495" s="71"/>
      <c r="L495" s="46" t="s">
        <v>86</v>
      </c>
      <c r="M495" s="114"/>
    </row>
    <row r="496" spans="1:13" x14ac:dyDescent="0.3">
      <c r="A496" s="241"/>
      <c r="B496" s="287"/>
      <c r="C496" s="287"/>
      <c r="D496" s="287"/>
      <c r="E496" s="287"/>
      <c r="F496" s="16"/>
      <c r="G496" s="16"/>
      <c r="H496" s="16"/>
      <c r="I496" s="16">
        <f t="shared" si="113"/>
        <v>0</v>
      </c>
      <c r="J496" s="340"/>
      <c r="K496" s="71"/>
      <c r="L496" s="16"/>
      <c r="M496" s="114"/>
    </row>
    <row r="497" spans="1:13" x14ac:dyDescent="0.3">
      <c r="A497" s="241"/>
      <c r="B497" s="287"/>
      <c r="C497" s="287"/>
      <c r="D497" s="287"/>
      <c r="E497" s="287"/>
      <c r="F497" s="16"/>
      <c r="G497" s="16"/>
      <c r="H497" s="16"/>
      <c r="I497" s="16">
        <f t="shared" si="113"/>
        <v>0</v>
      </c>
      <c r="J497" s="340"/>
      <c r="K497" s="71"/>
      <c r="L497" s="27"/>
      <c r="M497" s="114"/>
    </row>
    <row r="498" spans="1:13" ht="15" thickBot="1" x14ac:dyDescent="0.35">
      <c r="A498" s="242"/>
      <c r="B498" s="288"/>
      <c r="C498" s="288"/>
      <c r="D498" s="288"/>
      <c r="E498" s="288"/>
      <c r="F498" s="350" t="s">
        <v>17</v>
      </c>
      <c r="G498" s="350"/>
      <c r="H498" s="56">
        <f>SUM(H493:H497)</f>
        <v>500</v>
      </c>
      <c r="I498" s="56">
        <f>SUM(I493:I497)</f>
        <v>500</v>
      </c>
      <c r="J498" s="56"/>
      <c r="K498" s="79">
        <f>J493-I498</f>
        <v>0</v>
      </c>
      <c r="L498" s="56"/>
      <c r="M498" s="114"/>
    </row>
    <row r="499" spans="1:13" ht="15" thickTop="1" x14ac:dyDescent="0.3">
      <c r="A499" s="340">
        <f t="shared" ref="A499" si="114">1+A493</f>
        <v>83</v>
      </c>
      <c r="B499" s="328" t="s">
        <v>382</v>
      </c>
      <c r="C499" s="286" t="s">
        <v>383</v>
      </c>
      <c r="D499" s="286" t="s">
        <v>249</v>
      </c>
      <c r="E499" s="292" t="s">
        <v>384</v>
      </c>
      <c r="F499" s="16">
        <v>6764</v>
      </c>
      <c r="G499" s="27" t="s">
        <v>343</v>
      </c>
      <c r="H499" s="16">
        <v>200</v>
      </c>
      <c r="I499" s="16">
        <f t="shared" ref="I499:I503" si="115">SUM(H499:H499)</f>
        <v>200</v>
      </c>
      <c r="J499" s="340">
        <v>200</v>
      </c>
      <c r="K499" s="71"/>
      <c r="L499" s="16" t="s">
        <v>138</v>
      </c>
      <c r="M499" s="114"/>
    </row>
    <row r="500" spans="1:13" x14ac:dyDescent="0.3">
      <c r="A500" s="340"/>
      <c r="B500" s="287"/>
      <c r="C500" s="287"/>
      <c r="D500" s="287"/>
      <c r="E500" s="287"/>
      <c r="F500" s="16"/>
      <c r="G500" s="27"/>
      <c r="H500" s="16"/>
      <c r="I500" s="16">
        <f t="shared" si="115"/>
        <v>0</v>
      </c>
      <c r="J500" s="340"/>
      <c r="K500" s="71"/>
      <c r="L500" s="46" t="s">
        <v>85</v>
      </c>
      <c r="M500" s="114"/>
    </row>
    <row r="501" spans="1:13" x14ac:dyDescent="0.3">
      <c r="A501" s="340"/>
      <c r="B501" s="287"/>
      <c r="C501" s="287"/>
      <c r="D501" s="287"/>
      <c r="E501" s="287"/>
      <c r="F501" s="16"/>
      <c r="G501" s="18"/>
      <c r="H501" s="16"/>
      <c r="I501" s="16">
        <f t="shared" si="115"/>
        <v>0</v>
      </c>
      <c r="J501" s="340"/>
      <c r="K501" s="71"/>
      <c r="L501" s="46" t="s">
        <v>86</v>
      </c>
      <c r="M501" s="114"/>
    </row>
    <row r="502" spans="1:13" x14ac:dyDescent="0.3">
      <c r="A502" s="340"/>
      <c r="B502" s="287"/>
      <c r="C502" s="287"/>
      <c r="D502" s="287"/>
      <c r="E502" s="287"/>
      <c r="F502" s="16"/>
      <c r="G502" s="16"/>
      <c r="H502" s="16"/>
      <c r="I502" s="16">
        <f t="shared" si="115"/>
        <v>0</v>
      </c>
      <c r="J502" s="340"/>
      <c r="K502" s="71"/>
      <c r="L502" s="16"/>
      <c r="M502" s="114"/>
    </row>
    <row r="503" spans="1:13" x14ac:dyDescent="0.3">
      <c r="A503" s="340"/>
      <c r="B503" s="287"/>
      <c r="C503" s="287"/>
      <c r="D503" s="287"/>
      <c r="E503" s="287"/>
      <c r="F503" s="16"/>
      <c r="G503" s="16"/>
      <c r="H503" s="16"/>
      <c r="I503" s="16">
        <f t="shared" si="115"/>
        <v>0</v>
      </c>
      <c r="J503" s="340"/>
      <c r="K503" s="71"/>
      <c r="L503" s="27"/>
      <c r="M503" s="114"/>
    </row>
    <row r="504" spans="1:13" ht="15" thickBot="1" x14ac:dyDescent="0.35">
      <c r="A504" s="340"/>
      <c r="B504" s="288"/>
      <c r="C504" s="288"/>
      <c r="D504" s="288"/>
      <c r="E504" s="288"/>
      <c r="F504" s="350" t="s">
        <v>17</v>
      </c>
      <c r="G504" s="350"/>
      <c r="H504" s="56">
        <f>SUM(H499:H503)</f>
        <v>200</v>
      </c>
      <c r="I504" s="56">
        <f>SUM(I499:I503)</f>
        <v>200</v>
      </c>
      <c r="J504" s="56"/>
      <c r="K504" s="79">
        <f>J499-I504</f>
        <v>0</v>
      </c>
      <c r="L504" s="56"/>
      <c r="M504" s="114"/>
    </row>
    <row r="505" spans="1:13" ht="15" thickTop="1" x14ac:dyDescent="0.3">
      <c r="A505" s="241">
        <v>84</v>
      </c>
      <c r="B505" s="328" t="s">
        <v>385</v>
      </c>
      <c r="C505" s="286" t="s">
        <v>386</v>
      </c>
      <c r="D505" s="286" t="s">
        <v>387</v>
      </c>
      <c r="E505" s="292" t="s">
        <v>388</v>
      </c>
      <c r="F505" s="16">
        <v>6765</v>
      </c>
      <c r="G505" s="27" t="s">
        <v>343</v>
      </c>
      <c r="H505" s="16">
        <v>300</v>
      </c>
      <c r="I505" s="16">
        <f t="shared" ref="I505:I509" si="116">SUM(H505:H505)</f>
        <v>300</v>
      </c>
      <c r="J505" s="340">
        <v>300</v>
      </c>
      <c r="K505" s="71"/>
      <c r="L505" s="16" t="s">
        <v>107</v>
      </c>
      <c r="M505" s="114"/>
    </row>
    <row r="506" spans="1:13" x14ac:dyDescent="0.3">
      <c r="A506" s="241"/>
      <c r="B506" s="287"/>
      <c r="C506" s="287"/>
      <c r="D506" s="287"/>
      <c r="E506" s="287"/>
      <c r="F506" s="16"/>
      <c r="G506" s="27"/>
      <c r="H506" s="16"/>
      <c r="I506" s="16">
        <f t="shared" si="116"/>
        <v>0</v>
      </c>
      <c r="J506" s="340"/>
      <c r="K506" s="71"/>
      <c r="L506" s="46" t="s">
        <v>85</v>
      </c>
      <c r="M506" s="114"/>
    </row>
    <row r="507" spans="1:13" x14ac:dyDescent="0.3">
      <c r="A507" s="241"/>
      <c r="B507" s="287"/>
      <c r="C507" s="287"/>
      <c r="D507" s="287"/>
      <c r="E507" s="287"/>
      <c r="F507" s="16"/>
      <c r="G507" s="18"/>
      <c r="H507" s="16"/>
      <c r="I507" s="16">
        <f t="shared" si="116"/>
        <v>0</v>
      </c>
      <c r="J507" s="340"/>
      <c r="K507" s="71"/>
      <c r="L507" s="46" t="s">
        <v>86</v>
      </c>
      <c r="M507" s="114"/>
    </row>
    <row r="508" spans="1:13" x14ac:dyDescent="0.3">
      <c r="A508" s="241"/>
      <c r="B508" s="287"/>
      <c r="C508" s="287"/>
      <c r="D508" s="287"/>
      <c r="E508" s="287"/>
      <c r="F508" s="16"/>
      <c r="G508" s="16"/>
      <c r="H508" s="16"/>
      <c r="I508" s="16">
        <f t="shared" si="116"/>
        <v>0</v>
      </c>
      <c r="J508" s="340"/>
      <c r="K508" s="71"/>
      <c r="L508" s="16"/>
      <c r="M508" s="114"/>
    </row>
    <row r="509" spans="1:13" x14ac:dyDescent="0.3">
      <c r="A509" s="241"/>
      <c r="B509" s="287"/>
      <c r="C509" s="287"/>
      <c r="D509" s="287"/>
      <c r="E509" s="287"/>
      <c r="F509" s="16"/>
      <c r="G509" s="16"/>
      <c r="H509" s="16"/>
      <c r="I509" s="16">
        <f t="shared" si="116"/>
        <v>0</v>
      </c>
      <c r="J509" s="340"/>
      <c r="K509" s="71"/>
      <c r="L509" s="27"/>
      <c r="M509" s="114"/>
    </row>
    <row r="510" spans="1:13" ht="15" thickBot="1" x14ac:dyDescent="0.35">
      <c r="A510" s="242"/>
      <c r="B510" s="288"/>
      <c r="C510" s="288"/>
      <c r="D510" s="288"/>
      <c r="E510" s="288"/>
      <c r="F510" s="350" t="s">
        <v>17</v>
      </c>
      <c r="G510" s="350"/>
      <c r="H510" s="56">
        <f>SUM(H505:H509)</f>
        <v>300</v>
      </c>
      <c r="I510" s="56">
        <f>SUM(I505:I509)</f>
        <v>300</v>
      </c>
      <c r="J510" s="56"/>
      <c r="K510" s="79">
        <f>J505-I510</f>
        <v>0</v>
      </c>
      <c r="L510" s="56"/>
      <c r="M510" s="114"/>
    </row>
    <row r="511" spans="1:13" ht="15" thickTop="1" x14ac:dyDescent="0.3">
      <c r="A511" s="340">
        <f t="shared" ref="A511" si="117">1+A505</f>
        <v>85</v>
      </c>
      <c r="B511" s="328" t="s">
        <v>89</v>
      </c>
      <c r="C511" s="286" t="s">
        <v>80</v>
      </c>
      <c r="D511" s="286" t="s">
        <v>389</v>
      </c>
      <c r="E511" s="292" t="s">
        <v>390</v>
      </c>
      <c r="F511" s="16">
        <v>6776</v>
      </c>
      <c r="G511" s="27" t="s">
        <v>371</v>
      </c>
      <c r="H511" s="16">
        <v>1450</v>
      </c>
      <c r="I511" s="16">
        <f t="shared" ref="I511:I515" si="118">SUM(H511:H511)</f>
        <v>1450</v>
      </c>
      <c r="J511" s="340">
        <v>1450</v>
      </c>
      <c r="K511" s="71"/>
      <c r="L511" s="16" t="s">
        <v>84</v>
      </c>
      <c r="M511" s="114"/>
    </row>
    <row r="512" spans="1:13" x14ac:dyDescent="0.3">
      <c r="A512" s="340"/>
      <c r="B512" s="287"/>
      <c r="C512" s="287"/>
      <c r="D512" s="287"/>
      <c r="E512" s="287"/>
      <c r="F512" s="16"/>
      <c r="G512" s="27"/>
      <c r="H512" s="16"/>
      <c r="I512" s="16">
        <f t="shared" si="118"/>
        <v>0</v>
      </c>
      <c r="J512" s="340"/>
      <c r="K512" s="71"/>
      <c r="L512" s="46" t="s">
        <v>85</v>
      </c>
      <c r="M512" s="114"/>
    </row>
    <row r="513" spans="1:13" x14ac:dyDescent="0.3">
      <c r="A513" s="340"/>
      <c r="B513" s="287"/>
      <c r="C513" s="287"/>
      <c r="D513" s="287"/>
      <c r="E513" s="287"/>
      <c r="F513" s="16"/>
      <c r="G513" s="18"/>
      <c r="H513" s="16"/>
      <c r="I513" s="16">
        <f t="shared" si="118"/>
        <v>0</v>
      </c>
      <c r="J513" s="340"/>
      <c r="K513" s="71"/>
      <c r="L513" s="46" t="s">
        <v>86</v>
      </c>
      <c r="M513" s="114"/>
    </row>
    <row r="514" spans="1:13" x14ac:dyDescent="0.3">
      <c r="A514" s="340"/>
      <c r="B514" s="287"/>
      <c r="C514" s="287"/>
      <c r="D514" s="287"/>
      <c r="E514" s="287"/>
      <c r="F514" s="16"/>
      <c r="G514" s="16"/>
      <c r="H514" s="16"/>
      <c r="I514" s="16">
        <f t="shared" si="118"/>
        <v>0</v>
      </c>
      <c r="J514" s="340"/>
      <c r="K514" s="71"/>
      <c r="L514" s="16"/>
      <c r="M514" s="114"/>
    </row>
    <row r="515" spans="1:13" x14ac:dyDescent="0.3">
      <c r="A515" s="340"/>
      <c r="B515" s="287"/>
      <c r="C515" s="287"/>
      <c r="D515" s="287"/>
      <c r="E515" s="287"/>
      <c r="F515" s="16"/>
      <c r="G515" s="16"/>
      <c r="H515" s="16"/>
      <c r="I515" s="16">
        <f t="shared" si="118"/>
        <v>0</v>
      </c>
      <c r="J515" s="340"/>
      <c r="K515" s="71"/>
      <c r="L515" s="27"/>
      <c r="M515" s="114"/>
    </row>
    <row r="516" spans="1:13" ht="15" thickBot="1" x14ac:dyDescent="0.35">
      <c r="A516" s="340"/>
      <c r="B516" s="288"/>
      <c r="C516" s="288"/>
      <c r="D516" s="288"/>
      <c r="E516" s="288"/>
      <c r="F516" s="350" t="s">
        <v>17</v>
      </c>
      <c r="G516" s="350"/>
      <c r="H516" s="56">
        <f>SUM(H511:H515)</f>
        <v>1450</v>
      </c>
      <c r="I516" s="56">
        <f>SUM(I511:I515)</f>
        <v>1450</v>
      </c>
      <c r="J516" s="56"/>
      <c r="K516" s="79">
        <f>J511-I516</f>
        <v>0</v>
      </c>
      <c r="L516" s="56"/>
      <c r="M516" s="114"/>
    </row>
    <row r="517" spans="1:13" ht="15" thickTop="1" x14ac:dyDescent="0.3">
      <c r="A517" s="241">
        <v>86</v>
      </c>
      <c r="B517" s="328" t="s">
        <v>391</v>
      </c>
      <c r="C517" s="286" t="s">
        <v>104</v>
      </c>
      <c r="D517" s="286" t="s">
        <v>249</v>
      </c>
      <c r="E517" s="292" t="s">
        <v>392</v>
      </c>
      <c r="F517" s="16">
        <v>6782</v>
      </c>
      <c r="G517" s="27" t="s">
        <v>393</v>
      </c>
      <c r="H517" s="16">
        <v>400</v>
      </c>
      <c r="I517" s="16">
        <f t="shared" ref="I517:I521" si="119">SUM(H517:H517)</f>
        <v>400</v>
      </c>
      <c r="J517" s="340">
        <v>400</v>
      </c>
      <c r="K517" s="71"/>
      <c r="L517" s="16" t="s">
        <v>183</v>
      </c>
      <c r="M517" s="114"/>
    </row>
    <row r="518" spans="1:13" x14ac:dyDescent="0.3">
      <c r="A518" s="241"/>
      <c r="B518" s="287"/>
      <c r="C518" s="287"/>
      <c r="D518" s="287"/>
      <c r="E518" s="287"/>
      <c r="F518" s="16"/>
      <c r="G518" s="27"/>
      <c r="H518" s="16"/>
      <c r="I518" s="16">
        <f t="shared" si="119"/>
        <v>0</v>
      </c>
      <c r="J518" s="340"/>
      <c r="K518" s="71"/>
      <c r="L518" s="46" t="s">
        <v>85</v>
      </c>
      <c r="M518" s="114"/>
    </row>
    <row r="519" spans="1:13" x14ac:dyDescent="0.3">
      <c r="A519" s="241"/>
      <c r="B519" s="287"/>
      <c r="C519" s="287"/>
      <c r="D519" s="287"/>
      <c r="E519" s="287"/>
      <c r="F519" s="16"/>
      <c r="G519" s="18"/>
      <c r="H519" s="16"/>
      <c r="I519" s="16">
        <f t="shared" si="119"/>
        <v>0</v>
      </c>
      <c r="J519" s="340"/>
      <c r="K519" s="71"/>
      <c r="L519" s="46" t="s">
        <v>86</v>
      </c>
      <c r="M519" s="114"/>
    </row>
    <row r="520" spans="1:13" x14ac:dyDescent="0.3">
      <c r="A520" s="241"/>
      <c r="B520" s="287"/>
      <c r="C520" s="287"/>
      <c r="D520" s="287"/>
      <c r="E520" s="287"/>
      <c r="F520" s="16"/>
      <c r="G520" s="16"/>
      <c r="H520" s="16"/>
      <c r="I520" s="16">
        <f t="shared" si="119"/>
        <v>0</v>
      </c>
      <c r="J520" s="340"/>
      <c r="K520" s="71"/>
      <c r="L520" s="16"/>
      <c r="M520" s="114"/>
    </row>
    <row r="521" spans="1:13" x14ac:dyDescent="0.3">
      <c r="A521" s="241"/>
      <c r="B521" s="287"/>
      <c r="C521" s="287"/>
      <c r="D521" s="287"/>
      <c r="E521" s="287"/>
      <c r="F521" s="16"/>
      <c r="G521" s="16"/>
      <c r="H521" s="16"/>
      <c r="I521" s="16">
        <f t="shared" si="119"/>
        <v>0</v>
      </c>
      <c r="J521" s="340"/>
      <c r="K521" s="71"/>
      <c r="L521" s="27"/>
      <c r="M521" s="114"/>
    </row>
    <row r="522" spans="1:13" ht="15" thickBot="1" x14ac:dyDescent="0.35">
      <c r="A522" s="242"/>
      <c r="B522" s="288"/>
      <c r="C522" s="288"/>
      <c r="D522" s="288"/>
      <c r="E522" s="288"/>
      <c r="F522" s="350" t="s">
        <v>17</v>
      </c>
      <c r="G522" s="350"/>
      <c r="H522" s="56">
        <f>SUM(H517:H521)</f>
        <v>400</v>
      </c>
      <c r="I522" s="56">
        <f>SUM(I517:I521)</f>
        <v>400</v>
      </c>
      <c r="J522" s="56"/>
      <c r="K522" s="79">
        <f>J517-I522</f>
        <v>0</v>
      </c>
      <c r="L522" s="56"/>
      <c r="M522" s="114"/>
    </row>
    <row r="523" spans="1:13" ht="15.75" customHeight="1" thickTop="1" x14ac:dyDescent="0.3">
      <c r="A523" s="340">
        <f t="shared" ref="A523" si="120">1+A517</f>
        <v>87</v>
      </c>
      <c r="B523" s="328" t="s">
        <v>283</v>
      </c>
      <c r="C523" s="286" t="s">
        <v>104</v>
      </c>
      <c r="D523" s="286" t="s">
        <v>249</v>
      </c>
      <c r="E523" s="292" t="s">
        <v>392</v>
      </c>
      <c r="F523" s="16">
        <v>6783</v>
      </c>
      <c r="G523" s="27" t="s">
        <v>393</v>
      </c>
      <c r="H523" s="16">
        <v>400</v>
      </c>
      <c r="I523" s="16">
        <f t="shared" ref="I523:I527" si="121">SUM(H523:H523)</f>
        <v>400</v>
      </c>
      <c r="J523" s="340">
        <v>400</v>
      </c>
      <c r="K523" s="71"/>
      <c r="L523" s="16" t="s">
        <v>183</v>
      </c>
      <c r="M523" s="114"/>
    </row>
    <row r="524" spans="1:13" x14ac:dyDescent="0.3">
      <c r="A524" s="340"/>
      <c r="B524" s="287"/>
      <c r="C524" s="287"/>
      <c r="D524" s="287"/>
      <c r="E524" s="287"/>
      <c r="F524" s="16"/>
      <c r="G524" s="27"/>
      <c r="H524" s="16"/>
      <c r="I524" s="16">
        <f t="shared" si="121"/>
        <v>0</v>
      </c>
      <c r="J524" s="340"/>
      <c r="K524" s="71"/>
      <c r="L524" s="46" t="s">
        <v>85</v>
      </c>
      <c r="M524" s="114"/>
    </row>
    <row r="525" spans="1:13" x14ac:dyDescent="0.3">
      <c r="A525" s="340"/>
      <c r="B525" s="287"/>
      <c r="C525" s="287"/>
      <c r="D525" s="287"/>
      <c r="E525" s="287"/>
      <c r="F525" s="16"/>
      <c r="G525" s="18"/>
      <c r="H525" s="16"/>
      <c r="I525" s="16">
        <f t="shared" si="121"/>
        <v>0</v>
      </c>
      <c r="J525" s="340"/>
      <c r="K525" s="71"/>
      <c r="L525" s="46" t="s">
        <v>86</v>
      </c>
      <c r="M525" s="114"/>
    </row>
    <row r="526" spans="1:13" x14ac:dyDescent="0.3">
      <c r="A526" s="340"/>
      <c r="B526" s="287"/>
      <c r="C526" s="287"/>
      <c r="D526" s="287"/>
      <c r="E526" s="287"/>
      <c r="F526" s="16"/>
      <c r="G526" s="16"/>
      <c r="H526" s="16"/>
      <c r="I526" s="16">
        <f t="shared" si="121"/>
        <v>0</v>
      </c>
      <c r="J526" s="340"/>
      <c r="K526" s="71"/>
      <c r="L526" s="16"/>
      <c r="M526" s="114"/>
    </row>
    <row r="527" spans="1:13" x14ac:dyDescent="0.3">
      <c r="A527" s="340"/>
      <c r="B527" s="287"/>
      <c r="C527" s="287"/>
      <c r="D527" s="287"/>
      <c r="E527" s="287"/>
      <c r="F527" s="16"/>
      <c r="G527" s="16"/>
      <c r="H527" s="16"/>
      <c r="I527" s="16">
        <f t="shared" si="121"/>
        <v>0</v>
      </c>
      <c r="J527" s="340"/>
      <c r="K527" s="71"/>
      <c r="L527" s="27"/>
      <c r="M527" s="114"/>
    </row>
    <row r="528" spans="1:13" ht="15" thickBot="1" x14ac:dyDescent="0.35">
      <c r="A528" s="340"/>
      <c r="B528" s="288"/>
      <c r="C528" s="288"/>
      <c r="D528" s="288"/>
      <c r="E528" s="288"/>
      <c r="F528" s="350" t="s">
        <v>17</v>
      </c>
      <c r="G528" s="350"/>
      <c r="H528" s="56">
        <f>SUM(H523:H527)</f>
        <v>400</v>
      </c>
      <c r="I528" s="56">
        <f>SUM(I523:I527)</f>
        <v>400</v>
      </c>
      <c r="J528" s="56"/>
      <c r="K528" s="79">
        <f>J523-I528</f>
        <v>0</v>
      </c>
      <c r="L528" s="56"/>
      <c r="M528" s="114"/>
    </row>
    <row r="529" spans="1:13" ht="15.75" customHeight="1" thickTop="1" x14ac:dyDescent="0.3">
      <c r="A529" s="241">
        <v>88</v>
      </c>
      <c r="B529" s="328" t="s">
        <v>394</v>
      </c>
      <c r="C529" s="286" t="s">
        <v>104</v>
      </c>
      <c r="D529" s="286" t="s">
        <v>249</v>
      </c>
      <c r="E529" s="292" t="s">
        <v>392</v>
      </c>
      <c r="F529" s="16">
        <v>6784</v>
      </c>
      <c r="G529" s="27" t="s">
        <v>393</v>
      </c>
      <c r="H529" s="16">
        <v>400</v>
      </c>
      <c r="I529" s="16">
        <f t="shared" ref="I529:I533" si="122">SUM(H529:H529)</f>
        <v>400</v>
      </c>
      <c r="J529" s="340">
        <v>400</v>
      </c>
      <c r="K529" s="71"/>
      <c r="L529" s="16" t="s">
        <v>183</v>
      </c>
      <c r="M529" s="114"/>
    </row>
    <row r="530" spans="1:13" x14ac:dyDescent="0.3">
      <c r="A530" s="241"/>
      <c r="B530" s="287"/>
      <c r="C530" s="287"/>
      <c r="D530" s="287"/>
      <c r="E530" s="287"/>
      <c r="F530" s="16"/>
      <c r="G530" s="27"/>
      <c r="H530" s="16"/>
      <c r="I530" s="16">
        <f t="shared" si="122"/>
        <v>0</v>
      </c>
      <c r="J530" s="340"/>
      <c r="K530" s="71"/>
      <c r="L530" s="46" t="s">
        <v>85</v>
      </c>
      <c r="M530" s="114"/>
    </row>
    <row r="531" spans="1:13" x14ac:dyDescent="0.3">
      <c r="A531" s="241"/>
      <c r="B531" s="287"/>
      <c r="C531" s="287"/>
      <c r="D531" s="287"/>
      <c r="E531" s="287"/>
      <c r="F531" s="16"/>
      <c r="G531" s="18"/>
      <c r="H531" s="16"/>
      <c r="I531" s="16">
        <f t="shared" si="122"/>
        <v>0</v>
      </c>
      <c r="J531" s="340"/>
      <c r="K531" s="71"/>
      <c r="L531" s="46" t="s">
        <v>86</v>
      </c>
      <c r="M531" s="114"/>
    </row>
    <row r="532" spans="1:13" x14ac:dyDescent="0.3">
      <c r="A532" s="241"/>
      <c r="B532" s="287"/>
      <c r="C532" s="287"/>
      <c r="D532" s="287"/>
      <c r="E532" s="287"/>
      <c r="F532" s="16"/>
      <c r="G532" s="16"/>
      <c r="H532" s="16"/>
      <c r="I532" s="16">
        <f t="shared" si="122"/>
        <v>0</v>
      </c>
      <c r="J532" s="340"/>
      <c r="K532" s="71"/>
      <c r="L532" s="16"/>
      <c r="M532" s="114"/>
    </row>
    <row r="533" spans="1:13" x14ac:dyDescent="0.3">
      <c r="A533" s="241"/>
      <c r="B533" s="287"/>
      <c r="C533" s="287"/>
      <c r="D533" s="287"/>
      <c r="E533" s="287"/>
      <c r="F533" s="16"/>
      <c r="G533" s="16"/>
      <c r="H533" s="16"/>
      <c r="I533" s="16">
        <f t="shared" si="122"/>
        <v>0</v>
      </c>
      <c r="J533" s="340"/>
      <c r="K533" s="71"/>
      <c r="L533" s="27"/>
      <c r="M533" s="114"/>
    </row>
    <row r="534" spans="1:13" ht="15" thickBot="1" x14ac:dyDescent="0.35">
      <c r="A534" s="242"/>
      <c r="B534" s="288"/>
      <c r="C534" s="288"/>
      <c r="D534" s="288"/>
      <c r="E534" s="288"/>
      <c r="F534" s="350" t="s">
        <v>17</v>
      </c>
      <c r="G534" s="350"/>
      <c r="H534" s="56">
        <f>SUM(H529:H533)</f>
        <v>400</v>
      </c>
      <c r="I534" s="56">
        <f>SUM(I529:I533)</f>
        <v>400</v>
      </c>
      <c r="J534" s="56"/>
      <c r="K534" s="79">
        <f>J529-I534</f>
        <v>0</v>
      </c>
      <c r="L534" s="56"/>
      <c r="M534" s="114"/>
    </row>
    <row r="535" spans="1:13" ht="15" thickTop="1" x14ac:dyDescent="0.3">
      <c r="A535" s="340">
        <f t="shared" ref="A535" si="123">1+A529</f>
        <v>89</v>
      </c>
      <c r="B535" s="328" t="s">
        <v>395</v>
      </c>
      <c r="C535" s="286" t="s">
        <v>396</v>
      </c>
      <c r="D535" s="286" t="s">
        <v>249</v>
      </c>
      <c r="E535" s="292" t="s">
        <v>397</v>
      </c>
      <c r="F535" s="16">
        <v>6802</v>
      </c>
      <c r="G535" s="27" t="s">
        <v>398</v>
      </c>
      <c r="H535" s="16">
        <v>200</v>
      </c>
      <c r="I535" s="16">
        <f t="shared" ref="I535:I539" si="124">SUM(H535:H535)</f>
        <v>200</v>
      </c>
      <c r="J535" s="340">
        <v>200</v>
      </c>
      <c r="K535" s="71"/>
      <c r="L535" s="16" t="s">
        <v>138</v>
      </c>
      <c r="M535" s="114"/>
    </row>
    <row r="536" spans="1:13" x14ac:dyDescent="0.3">
      <c r="A536" s="340"/>
      <c r="B536" s="287"/>
      <c r="C536" s="287"/>
      <c r="D536" s="287"/>
      <c r="E536" s="287"/>
      <c r="F536" s="16"/>
      <c r="G536" s="27"/>
      <c r="H536" s="16"/>
      <c r="I536" s="16">
        <f t="shared" si="124"/>
        <v>0</v>
      </c>
      <c r="J536" s="340"/>
      <c r="K536" s="71"/>
      <c r="L536" s="46" t="s">
        <v>85</v>
      </c>
      <c r="M536" s="114"/>
    </row>
    <row r="537" spans="1:13" x14ac:dyDescent="0.3">
      <c r="A537" s="340"/>
      <c r="B537" s="287"/>
      <c r="C537" s="287"/>
      <c r="D537" s="287"/>
      <c r="E537" s="287"/>
      <c r="F537" s="16"/>
      <c r="G537" s="18"/>
      <c r="H537" s="16"/>
      <c r="I537" s="16">
        <f t="shared" si="124"/>
        <v>0</v>
      </c>
      <c r="J537" s="340"/>
      <c r="K537" s="71"/>
      <c r="L537" s="46" t="s">
        <v>86</v>
      </c>
      <c r="M537" s="114"/>
    </row>
    <row r="538" spans="1:13" x14ac:dyDescent="0.3">
      <c r="A538" s="340"/>
      <c r="B538" s="287"/>
      <c r="C538" s="287"/>
      <c r="D538" s="287"/>
      <c r="E538" s="287"/>
      <c r="F538" s="16"/>
      <c r="G538" s="16"/>
      <c r="H538" s="16"/>
      <c r="I538" s="16">
        <f t="shared" si="124"/>
        <v>0</v>
      </c>
      <c r="J538" s="340"/>
      <c r="K538" s="71"/>
      <c r="L538" s="16"/>
      <c r="M538" s="114"/>
    </row>
    <row r="539" spans="1:13" x14ac:dyDescent="0.3">
      <c r="A539" s="340"/>
      <c r="B539" s="287"/>
      <c r="C539" s="287"/>
      <c r="D539" s="287"/>
      <c r="E539" s="287"/>
      <c r="F539" s="16"/>
      <c r="G539" s="16"/>
      <c r="H539" s="16"/>
      <c r="I539" s="16">
        <f t="shared" si="124"/>
        <v>0</v>
      </c>
      <c r="J539" s="340"/>
      <c r="K539" s="71"/>
      <c r="L539" s="27"/>
      <c r="M539" s="114"/>
    </row>
    <row r="540" spans="1:13" ht="15" thickBot="1" x14ac:dyDescent="0.35">
      <c r="A540" s="340"/>
      <c r="B540" s="288"/>
      <c r="C540" s="288"/>
      <c r="D540" s="288"/>
      <c r="E540" s="288"/>
      <c r="F540" s="350" t="s">
        <v>17</v>
      </c>
      <c r="G540" s="350"/>
      <c r="H540" s="56">
        <f>SUM(H535:H539)</f>
        <v>200</v>
      </c>
      <c r="I540" s="56">
        <f>SUM(I535:I539)</f>
        <v>200</v>
      </c>
      <c r="J540" s="56"/>
      <c r="K540" s="79">
        <f>J535-I540</f>
        <v>0</v>
      </c>
      <c r="L540" s="56"/>
      <c r="M540" s="114"/>
    </row>
    <row r="541" spans="1:13" ht="15" thickTop="1" x14ac:dyDescent="0.3">
      <c r="A541" s="241">
        <v>90</v>
      </c>
      <c r="B541" s="328" t="s">
        <v>399</v>
      </c>
      <c r="C541" s="286" t="s">
        <v>400</v>
      </c>
      <c r="D541" s="286" t="s">
        <v>401</v>
      </c>
      <c r="E541" s="292" t="s">
        <v>402</v>
      </c>
      <c r="F541" s="16">
        <v>6803</v>
      </c>
      <c r="G541" s="27" t="s">
        <v>403</v>
      </c>
      <c r="H541" s="16">
        <v>100</v>
      </c>
      <c r="I541" s="16">
        <f t="shared" ref="I541:I545" si="125">SUM(H541:H541)</f>
        <v>100</v>
      </c>
      <c r="J541" s="340">
        <v>100</v>
      </c>
      <c r="K541" s="71"/>
      <c r="L541" s="16" t="s">
        <v>253</v>
      </c>
      <c r="M541" s="114"/>
    </row>
    <row r="542" spans="1:13" x14ac:dyDescent="0.3">
      <c r="A542" s="241"/>
      <c r="B542" s="287"/>
      <c r="C542" s="287"/>
      <c r="D542" s="287"/>
      <c r="E542" s="287"/>
      <c r="F542" s="16"/>
      <c r="G542" s="27"/>
      <c r="H542" s="16"/>
      <c r="I542" s="16">
        <f t="shared" si="125"/>
        <v>0</v>
      </c>
      <c r="J542" s="340"/>
      <c r="K542" s="71"/>
      <c r="L542" s="46" t="s">
        <v>85</v>
      </c>
      <c r="M542" s="114"/>
    </row>
    <row r="543" spans="1:13" x14ac:dyDescent="0.3">
      <c r="A543" s="241"/>
      <c r="B543" s="287"/>
      <c r="C543" s="287"/>
      <c r="D543" s="287"/>
      <c r="E543" s="287"/>
      <c r="F543" s="16"/>
      <c r="G543" s="18"/>
      <c r="H543" s="16"/>
      <c r="I543" s="16">
        <f t="shared" si="125"/>
        <v>0</v>
      </c>
      <c r="J543" s="340"/>
      <c r="K543" s="71"/>
      <c r="L543" s="46" t="s">
        <v>86</v>
      </c>
      <c r="M543" s="114"/>
    </row>
    <row r="544" spans="1:13" x14ac:dyDescent="0.3">
      <c r="A544" s="241"/>
      <c r="B544" s="287"/>
      <c r="C544" s="287"/>
      <c r="D544" s="287"/>
      <c r="E544" s="287"/>
      <c r="F544" s="16"/>
      <c r="G544" s="16"/>
      <c r="H544" s="16"/>
      <c r="I544" s="16">
        <f t="shared" si="125"/>
        <v>0</v>
      </c>
      <c r="J544" s="340"/>
      <c r="K544" s="71"/>
      <c r="L544" s="16"/>
      <c r="M544" s="114"/>
    </row>
    <row r="545" spans="1:13" x14ac:dyDescent="0.3">
      <c r="A545" s="241"/>
      <c r="B545" s="287"/>
      <c r="C545" s="287"/>
      <c r="D545" s="287"/>
      <c r="E545" s="287"/>
      <c r="F545" s="16"/>
      <c r="G545" s="16"/>
      <c r="H545" s="16"/>
      <c r="I545" s="16">
        <f t="shared" si="125"/>
        <v>0</v>
      </c>
      <c r="J545" s="340"/>
      <c r="K545" s="71"/>
      <c r="L545" s="27"/>
      <c r="M545" s="114"/>
    </row>
    <row r="546" spans="1:13" ht="15" thickBot="1" x14ac:dyDescent="0.35">
      <c r="A546" s="242"/>
      <c r="B546" s="288"/>
      <c r="C546" s="288"/>
      <c r="D546" s="288"/>
      <c r="E546" s="288"/>
      <c r="F546" s="350" t="s">
        <v>17</v>
      </c>
      <c r="G546" s="350"/>
      <c r="H546" s="56">
        <f>SUM(H541:H545)</f>
        <v>100</v>
      </c>
      <c r="I546" s="56">
        <f>SUM(I541:I545)</f>
        <v>100</v>
      </c>
      <c r="J546" s="56"/>
      <c r="K546" s="79">
        <f>J541-I546</f>
        <v>0</v>
      </c>
      <c r="L546" s="56"/>
      <c r="M546" s="114"/>
    </row>
    <row r="547" spans="1:13" ht="15" thickTop="1" x14ac:dyDescent="0.3">
      <c r="A547" s="241">
        <v>91</v>
      </c>
      <c r="B547" s="328" t="s">
        <v>536</v>
      </c>
      <c r="C547" s="286" t="s">
        <v>153</v>
      </c>
      <c r="D547" s="286" t="s">
        <v>401</v>
      </c>
      <c r="E547" s="292" t="s">
        <v>537</v>
      </c>
      <c r="F547" s="16">
        <v>6810</v>
      </c>
      <c r="G547" s="27" t="s">
        <v>403</v>
      </c>
      <c r="H547" s="16">
        <v>1500</v>
      </c>
      <c r="I547" s="16">
        <f t="shared" ref="I547:I551" si="126">SUM(H547:H547)</f>
        <v>1500</v>
      </c>
      <c r="J547" s="340">
        <v>1500</v>
      </c>
      <c r="K547" s="71"/>
      <c r="L547" s="16" t="s">
        <v>84</v>
      </c>
      <c r="M547" s="114"/>
    </row>
    <row r="548" spans="1:13" x14ac:dyDescent="0.3">
      <c r="A548" s="241"/>
      <c r="B548" s="287"/>
      <c r="C548" s="287"/>
      <c r="D548" s="287"/>
      <c r="E548" s="287"/>
      <c r="F548" s="16"/>
      <c r="G548" s="27"/>
      <c r="H548" s="16"/>
      <c r="I548" s="16">
        <f t="shared" si="126"/>
        <v>0</v>
      </c>
      <c r="J548" s="340"/>
      <c r="K548" s="71"/>
      <c r="L548" s="46" t="s">
        <v>85</v>
      </c>
      <c r="M548" s="114"/>
    </row>
    <row r="549" spans="1:13" x14ac:dyDescent="0.3">
      <c r="A549" s="241"/>
      <c r="B549" s="287"/>
      <c r="C549" s="287"/>
      <c r="D549" s="287"/>
      <c r="E549" s="287"/>
      <c r="F549" s="16"/>
      <c r="G549" s="18"/>
      <c r="H549" s="16"/>
      <c r="I549" s="16">
        <f t="shared" si="126"/>
        <v>0</v>
      </c>
      <c r="J549" s="340"/>
      <c r="K549" s="71"/>
      <c r="L549" s="46" t="s">
        <v>86</v>
      </c>
      <c r="M549" s="114"/>
    </row>
    <row r="550" spans="1:13" x14ac:dyDescent="0.3">
      <c r="A550" s="241"/>
      <c r="B550" s="287"/>
      <c r="C550" s="287"/>
      <c r="D550" s="287"/>
      <c r="E550" s="287"/>
      <c r="F550" s="16"/>
      <c r="G550" s="16"/>
      <c r="H550" s="16"/>
      <c r="I550" s="16">
        <f t="shared" si="126"/>
        <v>0</v>
      </c>
      <c r="J550" s="340"/>
      <c r="K550" s="71"/>
      <c r="L550" s="16"/>
      <c r="M550" s="114"/>
    </row>
    <row r="551" spans="1:13" x14ac:dyDescent="0.3">
      <c r="A551" s="241"/>
      <c r="B551" s="287"/>
      <c r="C551" s="287"/>
      <c r="D551" s="287"/>
      <c r="E551" s="287"/>
      <c r="F551" s="16"/>
      <c r="G551" s="16"/>
      <c r="H551" s="16"/>
      <c r="I551" s="16">
        <f t="shared" si="126"/>
        <v>0</v>
      </c>
      <c r="J551" s="340"/>
      <c r="K551" s="71"/>
      <c r="L551" s="27"/>
      <c r="M551" s="114"/>
    </row>
    <row r="552" spans="1:13" ht="15" thickBot="1" x14ac:dyDescent="0.35">
      <c r="A552" s="242"/>
      <c r="B552" s="288"/>
      <c r="C552" s="288"/>
      <c r="D552" s="288"/>
      <c r="E552" s="288"/>
      <c r="F552" s="350" t="s">
        <v>17</v>
      </c>
      <c r="G552" s="350"/>
      <c r="H552" s="56">
        <f>SUM(H547:H551)</f>
        <v>1500</v>
      </c>
      <c r="I552" s="56">
        <f>SUM(I547:I551)</f>
        <v>1500</v>
      </c>
      <c r="J552" s="56"/>
      <c r="K552" s="79">
        <f>J547-I552</f>
        <v>0</v>
      </c>
      <c r="L552" s="56"/>
      <c r="M552" s="114"/>
    </row>
    <row r="553" spans="1:13" ht="15.75" customHeight="1" thickTop="1" x14ac:dyDescent="0.3">
      <c r="A553" s="248">
        <v>92</v>
      </c>
      <c r="B553" s="328" t="s">
        <v>483</v>
      </c>
      <c r="C553" s="286" t="s">
        <v>193</v>
      </c>
      <c r="D553" s="286" t="s">
        <v>489</v>
      </c>
      <c r="E553" s="292" t="s">
        <v>484</v>
      </c>
      <c r="F553" s="16">
        <v>6833</v>
      </c>
      <c r="G553" s="27" t="s">
        <v>485</v>
      </c>
      <c r="H553" s="16">
        <v>300</v>
      </c>
      <c r="I553" s="16">
        <f t="shared" ref="I553:I557" si="127">SUM(H553:H553)</f>
        <v>300</v>
      </c>
      <c r="J553" s="340">
        <v>300</v>
      </c>
      <c r="K553" s="71"/>
      <c r="L553" s="16" t="s">
        <v>107</v>
      </c>
      <c r="M553" s="114"/>
    </row>
    <row r="554" spans="1:13" x14ac:dyDescent="0.3">
      <c r="A554" s="241"/>
      <c r="B554" s="287"/>
      <c r="C554" s="287"/>
      <c r="D554" s="287"/>
      <c r="E554" s="287"/>
      <c r="F554" s="16"/>
      <c r="G554" s="27"/>
      <c r="H554" s="16"/>
      <c r="I554" s="16">
        <f t="shared" si="127"/>
        <v>0</v>
      </c>
      <c r="J554" s="340"/>
      <c r="K554" s="71"/>
      <c r="L554" s="46" t="s">
        <v>85</v>
      </c>
      <c r="M554" s="114"/>
    </row>
    <row r="555" spans="1:13" x14ac:dyDescent="0.3">
      <c r="A555" s="241"/>
      <c r="B555" s="287"/>
      <c r="C555" s="287"/>
      <c r="D555" s="287"/>
      <c r="E555" s="287"/>
      <c r="F555" s="16"/>
      <c r="G555" s="18"/>
      <c r="H555" s="16"/>
      <c r="I555" s="16">
        <f t="shared" si="127"/>
        <v>0</v>
      </c>
      <c r="J555" s="340"/>
      <c r="K555" s="71"/>
      <c r="L555" s="46" t="s">
        <v>86</v>
      </c>
      <c r="M555" s="114"/>
    </row>
    <row r="556" spans="1:13" x14ac:dyDescent="0.3">
      <c r="A556" s="241"/>
      <c r="B556" s="287"/>
      <c r="C556" s="287"/>
      <c r="D556" s="287"/>
      <c r="E556" s="287"/>
      <c r="F556" s="16"/>
      <c r="G556" s="16"/>
      <c r="H556" s="16"/>
      <c r="I556" s="16">
        <f t="shared" si="127"/>
        <v>0</v>
      </c>
      <c r="J556" s="340"/>
      <c r="K556" s="71"/>
      <c r="L556" s="16"/>
      <c r="M556" s="114"/>
    </row>
    <row r="557" spans="1:13" x14ac:dyDescent="0.3">
      <c r="A557" s="241"/>
      <c r="B557" s="287"/>
      <c r="C557" s="287"/>
      <c r="D557" s="287"/>
      <c r="E557" s="287"/>
      <c r="F557" s="16"/>
      <c r="G557" s="16"/>
      <c r="H557" s="16"/>
      <c r="I557" s="16">
        <f t="shared" si="127"/>
        <v>0</v>
      </c>
      <c r="J557" s="340"/>
      <c r="K557" s="71"/>
      <c r="L557" s="27"/>
      <c r="M557" s="114"/>
    </row>
    <row r="558" spans="1:13" ht="15" thickBot="1" x14ac:dyDescent="0.35">
      <c r="A558" s="242"/>
      <c r="B558" s="288"/>
      <c r="C558" s="288"/>
      <c r="D558" s="288"/>
      <c r="E558" s="288"/>
      <c r="F558" s="350" t="s">
        <v>17</v>
      </c>
      <c r="G558" s="350"/>
      <c r="H558" s="56">
        <f>SUM(H553:H557)</f>
        <v>300</v>
      </c>
      <c r="I558" s="56">
        <f>SUM(I553:I557)</f>
        <v>300</v>
      </c>
      <c r="J558" s="56"/>
      <c r="K558" s="79">
        <f>J553-I558</f>
        <v>0</v>
      </c>
      <c r="L558" s="56"/>
      <c r="M558" s="114"/>
    </row>
    <row r="559" spans="1:13" ht="15.75" customHeight="1" thickTop="1" x14ac:dyDescent="0.3">
      <c r="A559" s="248">
        <v>93</v>
      </c>
      <c r="B559" s="328" t="s">
        <v>486</v>
      </c>
      <c r="C559" s="286" t="s">
        <v>193</v>
      </c>
      <c r="D559" s="286" t="s">
        <v>489</v>
      </c>
      <c r="E559" s="292" t="s">
        <v>484</v>
      </c>
      <c r="F559" s="16">
        <v>6834</v>
      </c>
      <c r="G559" s="27" t="s">
        <v>485</v>
      </c>
      <c r="H559" s="16">
        <v>300</v>
      </c>
      <c r="I559" s="16">
        <f t="shared" ref="I559:I563" si="128">SUM(H559:H559)</f>
        <v>300</v>
      </c>
      <c r="J559" s="340">
        <v>300</v>
      </c>
      <c r="K559" s="71"/>
      <c r="L559" s="16" t="s">
        <v>107</v>
      </c>
      <c r="M559" s="114"/>
    </row>
    <row r="560" spans="1:13" x14ac:dyDescent="0.3">
      <c r="A560" s="241"/>
      <c r="B560" s="287"/>
      <c r="C560" s="287"/>
      <c r="D560" s="287"/>
      <c r="E560" s="287"/>
      <c r="F560" s="16"/>
      <c r="G560" s="27"/>
      <c r="H560" s="16"/>
      <c r="I560" s="16">
        <f t="shared" si="128"/>
        <v>0</v>
      </c>
      <c r="J560" s="340"/>
      <c r="K560" s="71"/>
      <c r="L560" s="46" t="s">
        <v>85</v>
      </c>
      <c r="M560" s="114"/>
    </row>
    <row r="561" spans="1:13" x14ac:dyDescent="0.3">
      <c r="A561" s="241"/>
      <c r="B561" s="287"/>
      <c r="C561" s="287"/>
      <c r="D561" s="287"/>
      <c r="E561" s="287"/>
      <c r="F561" s="16"/>
      <c r="G561" s="18"/>
      <c r="H561" s="16"/>
      <c r="I561" s="16">
        <f t="shared" si="128"/>
        <v>0</v>
      </c>
      <c r="J561" s="340"/>
      <c r="K561" s="71"/>
      <c r="L561" s="46" t="s">
        <v>86</v>
      </c>
      <c r="M561" s="114"/>
    </row>
    <row r="562" spans="1:13" x14ac:dyDescent="0.3">
      <c r="A562" s="241"/>
      <c r="B562" s="287"/>
      <c r="C562" s="287"/>
      <c r="D562" s="287"/>
      <c r="E562" s="287"/>
      <c r="F562" s="16"/>
      <c r="G562" s="16"/>
      <c r="H562" s="16"/>
      <c r="I562" s="16">
        <f t="shared" si="128"/>
        <v>0</v>
      </c>
      <c r="J562" s="340"/>
      <c r="K562" s="71"/>
      <c r="L562" s="16"/>
      <c r="M562" s="114"/>
    </row>
    <row r="563" spans="1:13" x14ac:dyDescent="0.3">
      <c r="A563" s="241"/>
      <c r="B563" s="287"/>
      <c r="C563" s="287"/>
      <c r="D563" s="287"/>
      <c r="E563" s="287"/>
      <c r="F563" s="16"/>
      <c r="G563" s="16"/>
      <c r="H563" s="16"/>
      <c r="I563" s="16">
        <f t="shared" si="128"/>
        <v>0</v>
      </c>
      <c r="J563" s="340"/>
      <c r="K563" s="71"/>
      <c r="L563" s="27"/>
      <c r="M563" s="114"/>
    </row>
    <row r="564" spans="1:13" ht="15" thickBot="1" x14ac:dyDescent="0.35">
      <c r="A564" s="242"/>
      <c r="B564" s="288"/>
      <c r="C564" s="288"/>
      <c r="D564" s="288"/>
      <c r="E564" s="288"/>
      <c r="F564" s="350" t="s">
        <v>17</v>
      </c>
      <c r="G564" s="350"/>
      <c r="H564" s="56">
        <f>SUM(H559:H563)</f>
        <v>300</v>
      </c>
      <c r="I564" s="56">
        <f>SUM(I559:I563)</f>
        <v>300</v>
      </c>
      <c r="J564" s="56"/>
      <c r="K564" s="79">
        <f>J559-I564</f>
        <v>0</v>
      </c>
      <c r="L564" s="56"/>
      <c r="M564" s="114"/>
    </row>
    <row r="565" spans="1:13" ht="15.75" customHeight="1" thickTop="1" x14ac:dyDescent="0.3">
      <c r="A565" s="248">
        <v>94</v>
      </c>
      <c r="B565" s="328" t="s">
        <v>487</v>
      </c>
      <c r="C565" s="286" t="s">
        <v>488</v>
      </c>
      <c r="D565" s="286" t="s">
        <v>489</v>
      </c>
      <c r="E565" s="292" t="s">
        <v>490</v>
      </c>
      <c r="F565" s="16">
        <v>6835</v>
      </c>
      <c r="G565" s="27" t="s">
        <v>485</v>
      </c>
      <c r="H565" s="16">
        <v>500</v>
      </c>
      <c r="I565" s="16">
        <f t="shared" ref="I565:I569" si="129">SUM(H565:H565)</f>
        <v>500</v>
      </c>
      <c r="J565" s="340">
        <v>500</v>
      </c>
      <c r="K565" s="71"/>
      <c r="L565" s="16" t="s">
        <v>187</v>
      </c>
      <c r="M565" s="114"/>
    </row>
    <row r="566" spans="1:13" x14ac:dyDescent="0.3">
      <c r="A566" s="241"/>
      <c r="B566" s="287"/>
      <c r="C566" s="287"/>
      <c r="D566" s="287"/>
      <c r="E566" s="287"/>
      <c r="F566" s="16"/>
      <c r="G566" s="27"/>
      <c r="H566" s="16"/>
      <c r="I566" s="16">
        <f t="shared" si="129"/>
        <v>0</v>
      </c>
      <c r="J566" s="340"/>
      <c r="K566" s="71"/>
      <c r="L566" s="46" t="s">
        <v>85</v>
      </c>
      <c r="M566" s="114"/>
    </row>
    <row r="567" spans="1:13" x14ac:dyDescent="0.3">
      <c r="A567" s="241"/>
      <c r="B567" s="287"/>
      <c r="C567" s="287"/>
      <c r="D567" s="287"/>
      <c r="E567" s="287"/>
      <c r="F567" s="16"/>
      <c r="G567" s="18"/>
      <c r="H567" s="16"/>
      <c r="I567" s="16">
        <f t="shared" si="129"/>
        <v>0</v>
      </c>
      <c r="J567" s="340"/>
      <c r="K567" s="71"/>
      <c r="L567" s="46" t="s">
        <v>86</v>
      </c>
      <c r="M567" s="114"/>
    </row>
    <row r="568" spans="1:13" x14ac:dyDescent="0.3">
      <c r="A568" s="241"/>
      <c r="B568" s="287"/>
      <c r="C568" s="287"/>
      <c r="D568" s="287"/>
      <c r="E568" s="287"/>
      <c r="F568" s="16"/>
      <c r="G568" s="16"/>
      <c r="H568" s="16"/>
      <c r="I568" s="16">
        <f t="shared" si="129"/>
        <v>0</v>
      </c>
      <c r="J568" s="340"/>
      <c r="K568" s="71"/>
      <c r="L568" s="16"/>
      <c r="M568" s="114"/>
    </row>
    <row r="569" spans="1:13" x14ac:dyDescent="0.3">
      <c r="A569" s="241"/>
      <c r="B569" s="287"/>
      <c r="C569" s="287"/>
      <c r="D569" s="287"/>
      <c r="E569" s="287"/>
      <c r="F569" s="16"/>
      <c r="G569" s="16"/>
      <c r="H569" s="16"/>
      <c r="I569" s="16">
        <f t="shared" si="129"/>
        <v>0</v>
      </c>
      <c r="J569" s="340"/>
      <c r="K569" s="71"/>
      <c r="L569" s="27"/>
      <c r="M569" s="114"/>
    </row>
    <row r="570" spans="1:13" ht="15" thickBot="1" x14ac:dyDescent="0.35">
      <c r="A570" s="242"/>
      <c r="B570" s="288"/>
      <c r="C570" s="288"/>
      <c r="D570" s="288"/>
      <c r="E570" s="288"/>
      <c r="F570" s="350" t="s">
        <v>17</v>
      </c>
      <c r="G570" s="350"/>
      <c r="H570" s="56">
        <f>SUM(H565:H569)</f>
        <v>500</v>
      </c>
      <c r="I570" s="56">
        <f>SUM(I565:I569)</f>
        <v>500</v>
      </c>
      <c r="J570" s="56"/>
      <c r="K570" s="79">
        <f>J565-I570</f>
        <v>0</v>
      </c>
      <c r="L570" s="56"/>
      <c r="M570" s="114"/>
    </row>
    <row r="571" spans="1:13" ht="15.75" customHeight="1" thickTop="1" x14ac:dyDescent="0.3">
      <c r="A571" s="248">
        <v>95</v>
      </c>
      <c r="B571" s="328" t="s">
        <v>491</v>
      </c>
      <c r="C571" s="286" t="s">
        <v>104</v>
      </c>
      <c r="D571" s="286" t="s">
        <v>489</v>
      </c>
      <c r="E571" s="292" t="s">
        <v>492</v>
      </c>
      <c r="F571" s="16">
        <v>6839</v>
      </c>
      <c r="G571" s="27" t="s">
        <v>493</v>
      </c>
      <c r="H571" s="16">
        <v>100</v>
      </c>
      <c r="I571" s="16">
        <f t="shared" ref="I571:I575" si="130">SUM(H571:H571)</f>
        <v>100</v>
      </c>
      <c r="J571" s="340">
        <v>100</v>
      </c>
      <c r="K571" s="71"/>
      <c r="L571" s="16" t="s">
        <v>253</v>
      </c>
      <c r="M571" s="114"/>
    </row>
    <row r="572" spans="1:13" x14ac:dyDescent="0.3">
      <c r="A572" s="241"/>
      <c r="B572" s="287"/>
      <c r="C572" s="287"/>
      <c r="D572" s="287"/>
      <c r="E572" s="287"/>
      <c r="F572" s="16"/>
      <c r="G572" s="27"/>
      <c r="H572" s="16"/>
      <c r="I572" s="16">
        <f t="shared" si="130"/>
        <v>0</v>
      </c>
      <c r="J572" s="340"/>
      <c r="K572" s="71"/>
      <c r="L572" s="46" t="s">
        <v>85</v>
      </c>
      <c r="M572" s="114"/>
    </row>
    <row r="573" spans="1:13" x14ac:dyDescent="0.3">
      <c r="A573" s="241"/>
      <c r="B573" s="287"/>
      <c r="C573" s="287"/>
      <c r="D573" s="287"/>
      <c r="E573" s="287"/>
      <c r="F573" s="16"/>
      <c r="G573" s="18"/>
      <c r="H573" s="16"/>
      <c r="I573" s="16">
        <f t="shared" si="130"/>
        <v>0</v>
      </c>
      <c r="J573" s="340"/>
      <c r="K573" s="71"/>
      <c r="L573" s="46" t="s">
        <v>86</v>
      </c>
      <c r="M573" s="114"/>
    </row>
    <row r="574" spans="1:13" x14ac:dyDescent="0.3">
      <c r="A574" s="241"/>
      <c r="B574" s="287"/>
      <c r="C574" s="287"/>
      <c r="D574" s="287"/>
      <c r="E574" s="287"/>
      <c r="F574" s="16"/>
      <c r="G574" s="16"/>
      <c r="H574" s="16"/>
      <c r="I574" s="16">
        <f t="shared" si="130"/>
        <v>0</v>
      </c>
      <c r="J574" s="340"/>
      <c r="K574" s="71"/>
      <c r="L574" s="16"/>
      <c r="M574" s="114"/>
    </row>
    <row r="575" spans="1:13" x14ac:dyDescent="0.3">
      <c r="A575" s="241"/>
      <c r="B575" s="287"/>
      <c r="C575" s="287"/>
      <c r="D575" s="287"/>
      <c r="E575" s="287"/>
      <c r="F575" s="16"/>
      <c r="G575" s="16"/>
      <c r="H575" s="16"/>
      <c r="I575" s="16">
        <f t="shared" si="130"/>
        <v>0</v>
      </c>
      <c r="J575" s="340"/>
      <c r="K575" s="71"/>
      <c r="L575" s="27"/>
      <c r="M575" s="114"/>
    </row>
    <row r="576" spans="1:13" ht="15" thickBot="1" x14ac:dyDescent="0.35">
      <c r="A576" s="242"/>
      <c r="B576" s="288"/>
      <c r="C576" s="288"/>
      <c r="D576" s="288"/>
      <c r="E576" s="288"/>
      <c r="F576" s="350" t="s">
        <v>17</v>
      </c>
      <c r="G576" s="350"/>
      <c r="H576" s="56">
        <f>SUM(H571:H575)</f>
        <v>100</v>
      </c>
      <c r="I576" s="56">
        <f>SUM(I571:I575)</f>
        <v>100</v>
      </c>
      <c r="J576" s="56"/>
      <c r="K576" s="79">
        <f>J571-I576</f>
        <v>0</v>
      </c>
      <c r="L576" s="56"/>
      <c r="M576" s="114"/>
    </row>
    <row r="577" spans="1:13" ht="15.75" customHeight="1" thickTop="1" x14ac:dyDescent="0.3">
      <c r="A577" s="248">
        <v>96</v>
      </c>
      <c r="B577" s="328" t="s">
        <v>494</v>
      </c>
      <c r="C577" s="286" t="s">
        <v>104</v>
      </c>
      <c r="D577" s="286" t="s">
        <v>489</v>
      </c>
      <c r="E577" s="292" t="s">
        <v>492</v>
      </c>
      <c r="F577" s="16">
        <v>6840</v>
      </c>
      <c r="G577" s="27" t="s">
        <v>493</v>
      </c>
      <c r="H577" s="16">
        <v>100</v>
      </c>
      <c r="I577" s="16">
        <f t="shared" ref="I577:I581" si="131">SUM(H577:H577)</f>
        <v>100</v>
      </c>
      <c r="J577" s="340">
        <v>100</v>
      </c>
      <c r="K577" s="71"/>
      <c r="L577" s="16" t="s">
        <v>253</v>
      </c>
      <c r="M577" s="114"/>
    </row>
    <row r="578" spans="1:13" x14ac:dyDescent="0.3">
      <c r="A578" s="241"/>
      <c r="B578" s="287"/>
      <c r="C578" s="287"/>
      <c r="D578" s="287"/>
      <c r="E578" s="287"/>
      <c r="F578" s="16"/>
      <c r="G578" s="27"/>
      <c r="H578" s="16"/>
      <c r="I578" s="16">
        <f t="shared" si="131"/>
        <v>0</v>
      </c>
      <c r="J578" s="340"/>
      <c r="K578" s="71"/>
      <c r="L578" s="46" t="s">
        <v>85</v>
      </c>
      <c r="M578" s="114"/>
    </row>
    <row r="579" spans="1:13" x14ac:dyDescent="0.3">
      <c r="A579" s="241"/>
      <c r="B579" s="287"/>
      <c r="C579" s="287"/>
      <c r="D579" s="287"/>
      <c r="E579" s="287"/>
      <c r="F579" s="16"/>
      <c r="G579" s="18"/>
      <c r="H579" s="16"/>
      <c r="I579" s="16">
        <f t="shared" si="131"/>
        <v>0</v>
      </c>
      <c r="J579" s="340"/>
      <c r="K579" s="71"/>
      <c r="L579" s="46" t="s">
        <v>86</v>
      </c>
      <c r="M579" s="114"/>
    </row>
    <row r="580" spans="1:13" x14ac:dyDescent="0.3">
      <c r="A580" s="241"/>
      <c r="B580" s="287"/>
      <c r="C580" s="287"/>
      <c r="D580" s="287"/>
      <c r="E580" s="287"/>
      <c r="F580" s="16"/>
      <c r="G580" s="16"/>
      <c r="H580" s="16"/>
      <c r="I580" s="16">
        <f t="shared" si="131"/>
        <v>0</v>
      </c>
      <c r="J580" s="340"/>
      <c r="K580" s="71"/>
      <c r="L580" s="16"/>
      <c r="M580" s="114"/>
    </row>
    <row r="581" spans="1:13" x14ac:dyDescent="0.3">
      <c r="A581" s="241"/>
      <c r="B581" s="287"/>
      <c r="C581" s="287"/>
      <c r="D581" s="287"/>
      <c r="E581" s="287"/>
      <c r="F581" s="16"/>
      <c r="G581" s="16"/>
      <c r="H581" s="16"/>
      <c r="I581" s="16">
        <f t="shared" si="131"/>
        <v>0</v>
      </c>
      <c r="J581" s="340"/>
      <c r="K581" s="71"/>
      <c r="L581" s="27"/>
      <c r="M581" s="114"/>
    </row>
    <row r="582" spans="1:13" ht="15" thickBot="1" x14ac:dyDescent="0.35">
      <c r="A582" s="242"/>
      <c r="B582" s="288"/>
      <c r="C582" s="288"/>
      <c r="D582" s="288"/>
      <c r="E582" s="288"/>
      <c r="F582" s="350" t="s">
        <v>17</v>
      </c>
      <c r="G582" s="350"/>
      <c r="H582" s="56">
        <f>SUM(H577:H581)</f>
        <v>100</v>
      </c>
      <c r="I582" s="56">
        <f>SUM(I577:I581)</f>
        <v>100</v>
      </c>
      <c r="J582" s="56"/>
      <c r="K582" s="79">
        <f>J577-I582</f>
        <v>0</v>
      </c>
      <c r="L582" s="56"/>
      <c r="M582" s="114"/>
    </row>
    <row r="583" spans="1:13" ht="15.75" customHeight="1" thickTop="1" x14ac:dyDescent="0.3">
      <c r="A583" s="248">
        <v>97</v>
      </c>
      <c r="B583" s="328" t="s">
        <v>495</v>
      </c>
      <c r="C583" s="286" t="s">
        <v>193</v>
      </c>
      <c r="D583" s="286" t="s">
        <v>489</v>
      </c>
      <c r="E583" s="292" t="s">
        <v>484</v>
      </c>
      <c r="F583" s="16">
        <v>6841</v>
      </c>
      <c r="G583" s="27" t="s">
        <v>493</v>
      </c>
      <c r="H583" s="16">
        <v>300</v>
      </c>
      <c r="I583" s="16">
        <f t="shared" ref="I583:I587" si="132">SUM(H583:H583)</f>
        <v>300</v>
      </c>
      <c r="J583" s="340">
        <v>300</v>
      </c>
      <c r="K583" s="71"/>
      <c r="L583" s="16" t="s">
        <v>107</v>
      </c>
      <c r="M583" s="114"/>
    </row>
    <row r="584" spans="1:13" x14ac:dyDescent="0.3">
      <c r="A584" s="241"/>
      <c r="B584" s="287"/>
      <c r="C584" s="287"/>
      <c r="D584" s="287"/>
      <c r="E584" s="287"/>
      <c r="F584" s="16"/>
      <c r="G584" s="27"/>
      <c r="H584" s="16"/>
      <c r="I584" s="16">
        <f t="shared" si="132"/>
        <v>0</v>
      </c>
      <c r="J584" s="340"/>
      <c r="K584" s="71"/>
      <c r="L584" s="46" t="s">
        <v>85</v>
      </c>
      <c r="M584" s="114"/>
    </row>
    <row r="585" spans="1:13" x14ac:dyDescent="0.3">
      <c r="A585" s="241"/>
      <c r="B585" s="287"/>
      <c r="C585" s="287"/>
      <c r="D585" s="287"/>
      <c r="E585" s="287"/>
      <c r="F585" s="16"/>
      <c r="G585" s="18"/>
      <c r="H585" s="16"/>
      <c r="I585" s="16">
        <f t="shared" si="132"/>
        <v>0</v>
      </c>
      <c r="J585" s="340"/>
      <c r="K585" s="71"/>
      <c r="L585" s="46" t="s">
        <v>86</v>
      </c>
      <c r="M585" s="114"/>
    </row>
    <row r="586" spans="1:13" x14ac:dyDescent="0.3">
      <c r="A586" s="241"/>
      <c r="B586" s="287"/>
      <c r="C586" s="287"/>
      <c r="D586" s="287"/>
      <c r="E586" s="287"/>
      <c r="F586" s="16"/>
      <c r="G586" s="16"/>
      <c r="H586" s="16"/>
      <c r="I586" s="16">
        <f t="shared" si="132"/>
        <v>0</v>
      </c>
      <c r="J586" s="340"/>
      <c r="K586" s="71"/>
      <c r="L586" s="16"/>
      <c r="M586" s="114"/>
    </row>
    <row r="587" spans="1:13" x14ac:dyDescent="0.3">
      <c r="A587" s="241"/>
      <c r="B587" s="287"/>
      <c r="C587" s="287"/>
      <c r="D587" s="287"/>
      <c r="E587" s="287"/>
      <c r="F587" s="16"/>
      <c r="G587" s="16"/>
      <c r="H587" s="16"/>
      <c r="I587" s="16">
        <f t="shared" si="132"/>
        <v>0</v>
      </c>
      <c r="J587" s="340"/>
      <c r="K587" s="71"/>
      <c r="L587" s="27"/>
      <c r="M587" s="114"/>
    </row>
    <row r="588" spans="1:13" ht="15" thickBot="1" x14ac:dyDescent="0.35">
      <c r="A588" s="242"/>
      <c r="B588" s="288"/>
      <c r="C588" s="288"/>
      <c r="D588" s="288"/>
      <c r="E588" s="288"/>
      <c r="F588" s="350" t="s">
        <v>17</v>
      </c>
      <c r="G588" s="350"/>
      <c r="H588" s="56">
        <f>SUM(H583:H587)</f>
        <v>300</v>
      </c>
      <c r="I588" s="56">
        <f>SUM(I583:I587)</f>
        <v>300</v>
      </c>
      <c r="J588" s="56"/>
      <c r="K588" s="79">
        <f>J583-I588</f>
        <v>0</v>
      </c>
      <c r="L588" s="56"/>
      <c r="M588" s="114"/>
    </row>
    <row r="589" spans="1:13" ht="15.75" customHeight="1" thickTop="1" x14ac:dyDescent="0.3">
      <c r="A589" s="248">
        <v>98</v>
      </c>
      <c r="B589" s="328" t="s">
        <v>496</v>
      </c>
      <c r="C589" s="286" t="s">
        <v>193</v>
      </c>
      <c r="D589" s="286" t="s">
        <v>489</v>
      </c>
      <c r="E589" s="292" t="s">
        <v>490</v>
      </c>
      <c r="F589" s="16">
        <v>6842</v>
      </c>
      <c r="G589" s="27" t="s">
        <v>493</v>
      </c>
      <c r="H589" s="16">
        <v>500</v>
      </c>
      <c r="I589" s="16">
        <f t="shared" ref="I589:I593" si="133">SUM(H589:H589)</f>
        <v>500</v>
      </c>
      <c r="J589" s="340">
        <v>500</v>
      </c>
      <c r="K589" s="71"/>
      <c r="L589" s="16" t="s">
        <v>187</v>
      </c>
      <c r="M589" s="114"/>
    </row>
    <row r="590" spans="1:13" x14ac:dyDescent="0.3">
      <c r="A590" s="241"/>
      <c r="B590" s="287"/>
      <c r="C590" s="287"/>
      <c r="D590" s="287"/>
      <c r="E590" s="287"/>
      <c r="F590" s="16"/>
      <c r="G590" s="27"/>
      <c r="H590" s="16"/>
      <c r="I590" s="16">
        <f t="shared" si="133"/>
        <v>0</v>
      </c>
      <c r="J590" s="340"/>
      <c r="K590" s="71"/>
      <c r="L590" s="46" t="s">
        <v>85</v>
      </c>
      <c r="M590" s="114"/>
    </row>
    <row r="591" spans="1:13" x14ac:dyDescent="0.3">
      <c r="A591" s="241"/>
      <c r="B591" s="287"/>
      <c r="C591" s="287"/>
      <c r="D591" s="287"/>
      <c r="E591" s="287"/>
      <c r="F591" s="16"/>
      <c r="G591" s="18"/>
      <c r="H591" s="16"/>
      <c r="I591" s="16">
        <f t="shared" si="133"/>
        <v>0</v>
      </c>
      <c r="J591" s="340"/>
      <c r="K591" s="71"/>
      <c r="L591" s="46" t="s">
        <v>86</v>
      </c>
      <c r="M591" s="114"/>
    </row>
    <row r="592" spans="1:13" x14ac:dyDescent="0.3">
      <c r="A592" s="241"/>
      <c r="B592" s="287"/>
      <c r="C592" s="287"/>
      <c r="D592" s="287"/>
      <c r="E592" s="287"/>
      <c r="F592" s="16"/>
      <c r="G592" s="16"/>
      <c r="H592" s="16"/>
      <c r="I592" s="16">
        <f t="shared" si="133"/>
        <v>0</v>
      </c>
      <c r="J592" s="340"/>
      <c r="K592" s="71"/>
      <c r="L592" s="16"/>
      <c r="M592" s="114"/>
    </row>
    <row r="593" spans="1:13" x14ac:dyDescent="0.3">
      <c r="A593" s="241"/>
      <c r="B593" s="287"/>
      <c r="C593" s="287"/>
      <c r="D593" s="287"/>
      <c r="E593" s="287"/>
      <c r="F593" s="16"/>
      <c r="G593" s="16"/>
      <c r="H593" s="16"/>
      <c r="I593" s="16">
        <f t="shared" si="133"/>
        <v>0</v>
      </c>
      <c r="J593" s="340"/>
      <c r="K593" s="71"/>
      <c r="L593" s="27"/>
      <c r="M593" s="114"/>
    </row>
    <row r="594" spans="1:13" ht="15" thickBot="1" x14ac:dyDescent="0.35">
      <c r="A594" s="242"/>
      <c r="B594" s="288"/>
      <c r="C594" s="288"/>
      <c r="D594" s="288"/>
      <c r="E594" s="288"/>
      <c r="F594" s="350" t="s">
        <v>17</v>
      </c>
      <c r="G594" s="350"/>
      <c r="H594" s="56">
        <f>SUM(H589:H593)</f>
        <v>500</v>
      </c>
      <c r="I594" s="56">
        <f>SUM(I589:I593)</f>
        <v>500</v>
      </c>
      <c r="J594" s="56"/>
      <c r="K594" s="79">
        <f>J589-I594</f>
        <v>0</v>
      </c>
      <c r="L594" s="56"/>
      <c r="M594" s="114"/>
    </row>
    <row r="595" spans="1:13" ht="15" thickTop="1" x14ac:dyDescent="0.3">
      <c r="A595" s="248">
        <v>99</v>
      </c>
      <c r="B595" s="328" t="s">
        <v>497</v>
      </c>
      <c r="C595" s="286" t="s">
        <v>102</v>
      </c>
      <c r="D595" s="286" t="s">
        <v>489</v>
      </c>
      <c r="E595" s="292" t="s">
        <v>498</v>
      </c>
      <c r="F595" s="16">
        <v>6856</v>
      </c>
      <c r="G595" s="27" t="s">
        <v>499</v>
      </c>
      <c r="H595" s="16">
        <v>200</v>
      </c>
      <c r="I595" s="16">
        <f t="shared" ref="I595:I599" si="134">SUM(H595:H595)</f>
        <v>200</v>
      </c>
      <c r="J595" s="340">
        <v>200</v>
      </c>
      <c r="K595" s="71"/>
      <c r="L595" s="16" t="s">
        <v>138</v>
      </c>
      <c r="M595" s="114"/>
    </row>
    <row r="596" spans="1:13" x14ac:dyDescent="0.3">
      <c r="A596" s="241"/>
      <c r="B596" s="287"/>
      <c r="C596" s="287"/>
      <c r="D596" s="287"/>
      <c r="E596" s="287"/>
      <c r="F596" s="16"/>
      <c r="G596" s="27"/>
      <c r="H596" s="16"/>
      <c r="I596" s="16">
        <f t="shared" si="134"/>
        <v>0</v>
      </c>
      <c r="J596" s="340"/>
      <c r="K596" s="71"/>
      <c r="L596" s="46" t="s">
        <v>85</v>
      </c>
      <c r="M596" s="114"/>
    </row>
    <row r="597" spans="1:13" x14ac:dyDescent="0.3">
      <c r="A597" s="241"/>
      <c r="B597" s="287"/>
      <c r="C597" s="287"/>
      <c r="D597" s="287"/>
      <c r="E597" s="287"/>
      <c r="F597" s="16"/>
      <c r="G597" s="18"/>
      <c r="H597" s="16"/>
      <c r="I597" s="16">
        <f t="shared" si="134"/>
        <v>0</v>
      </c>
      <c r="J597" s="340"/>
      <c r="K597" s="71"/>
      <c r="L597" s="46" t="s">
        <v>86</v>
      </c>
      <c r="M597" s="114"/>
    </row>
    <row r="598" spans="1:13" x14ac:dyDescent="0.3">
      <c r="A598" s="241"/>
      <c r="B598" s="287"/>
      <c r="C598" s="287"/>
      <c r="D598" s="287"/>
      <c r="E598" s="287"/>
      <c r="F598" s="16"/>
      <c r="G598" s="16"/>
      <c r="H598" s="16"/>
      <c r="I598" s="16">
        <f t="shared" si="134"/>
        <v>0</v>
      </c>
      <c r="J598" s="340"/>
      <c r="K598" s="71"/>
      <c r="L598" s="16"/>
      <c r="M598" s="114"/>
    </row>
    <row r="599" spans="1:13" x14ac:dyDescent="0.3">
      <c r="A599" s="241"/>
      <c r="B599" s="287"/>
      <c r="C599" s="287"/>
      <c r="D599" s="287"/>
      <c r="E599" s="287"/>
      <c r="F599" s="16"/>
      <c r="G599" s="16"/>
      <c r="H599" s="16"/>
      <c r="I599" s="16">
        <f t="shared" si="134"/>
        <v>0</v>
      </c>
      <c r="J599" s="340"/>
      <c r="K599" s="71"/>
      <c r="L599" s="27"/>
      <c r="M599" s="114"/>
    </row>
    <row r="600" spans="1:13" ht="15" thickBot="1" x14ac:dyDescent="0.35">
      <c r="A600" s="242"/>
      <c r="B600" s="288"/>
      <c r="C600" s="288"/>
      <c r="D600" s="288"/>
      <c r="E600" s="288"/>
      <c r="F600" s="350" t="s">
        <v>17</v>
      </c>
      <c r="G600" s="350"/>
      <c r="H600" s="56">
        <f>SUM(H595:H599)</f>
        <v>200</v>
      </c>
      <c r="I600" s="56">
        <f>SUM(I595:I599)</f>
        <v>200</v>
      </c>
      <c r="J600" s="56"/>
      <c r="K600" s="79">
        <f>J595-I600</f>
        <v>0</v>
      </c>
      <c r="L600" s="56"/>
      <c r="M600" s="114"/>
    </row>
    <row r="601" spans="1:13" ht="15" thickTop="1" x14ac:dyDescent="0.3">
      <c r="A601" s="248">
        <v>100</v>
      </c>
      <c r="B601" s="328" t="s">
        <v>500</v>
      </c>
      <c r="C601" s="286" t="s">
        <v>217</v>
      </c>
      <c r="D601" s="286" t="s">
        <v>501</v>
      </c>
      <c r="E601" s="292" t="s">
        <v>502</v>
      </c>
      <c r="F601" s="16">
        <v>6857</v>
      </c>
      <c r="G601" s="27" t="s">
        <v>499</v>
      </c>
      <c r="H601" s="16">
        <v>100</v>
      </c>
      <c r="I601" s="16">
        <f t="shared" ref="I601:I605" si="135">SUM(H601:H601)</f>
        <v>100</v>
      </c>
      <c r="J601" s="340">
        <v>100</v>
      </c>
      <c r="K601" s="71"/>
      <c r="L601" s="16" t="s">
        <v>134</v>
      </c>
      <c r="M601" s="114"/>
    </row>
    <row r="602" spans="1:13" x14ac:dyDescent="0.3">
      <c r="A602" s="241"/>
      <c r="B602" s="287"/>
      <c r="C602" s="287"/>
      <c r="D602" s="287"/>
      <c r="E602" s="287"/>
      <c r="F602" s="16"/>
      <c r="G602" s="27"/>
      <c r="H602" s="16"/>
      <c r="I602" s="16">
        <f t="shared" si="135"/>
        <v>0</v>
      </c>
      <c r="J602" s="340"/>
      <c r="K602" s="71"/>
      <c r="L602" s="46" t="s">
        <v>85</v>
      </c>
      <c r="M602" s="114"/>
    </row>
    <row r="603" spans="1:13" x14ac:dyDescent="0.3">
      <c r="A603" s="241"/>
      <c r="B603" s="287"/>
      <c r="C603" s="287"/>
      <c r="D603" s="287"/>
      <c r="E603" s="287"/>
      <c r="F603" s="16"/>
      <c r="G603" s="18"/>
      <c r="H603" s="16"/>
      <c r="I603" s="16">
        <f t="shared" si="135"/>
        <v>0</v>
      </c>
      <c r="J603" s="340"/>
      <c r="K603" s="71"/>
      <c r="L603" s="46" t="s">
        <v>86</v>
      </c>
      <c r="M603" s="114"/>
    </row>
    <row r="604" spans="1:13" x14ac:dyDescent="0.3">
      <c r="A604" s="241"/>
      <c r="B604" s="287"/>
      <c r="C604" s="287"/>
      <c r="D604" s="287"/>
      <c r="E604" s="287"/>
      <c r="F604" s="16"/>
      <c r="G604" s="16"/>
      <c r="H604" s="16"/>
      <c r="I604" s="16">
        <f t="shared" si="135"/>
        <v>0</v>
      </c>
      <c r="J604" s="340"/>
      <c r="K604" s="71"/>
      <c r="L604" s="16"/>
      <c r="M604" s="114"/>
    </row>
    <row r="605" spans="1:13" x14ac:dyDescent="0.3">
      <c r="A605" s="241"/>
      <c r="B605" s="287"/>
      <c r="C605" s="287"/>
      <c r="D605" s="287"/>
      <c r="E605" s="287"/>
      <c r="F605" s="16"/>
      <c r="G605" s="16"/>
      <c r="H605" s="16"/>
      <c r="I605" s="16">
        <f t="shared" si="135"/>
        <v>0</v>
      </c>
      <c r="J605" s="340"/>
      <c r="K605" s="71"/>
      <c r="L605" s="27"/>
      <c r="M605" s="114"/>
    </row>
    <row r="606" spans="1:13" ht="15" thickBot="1" x14ac:dyDescent="0.35">
      <c r="A606" s="242"/>
      <c r="B606" s="288"/>
      <c r="C606" s="288"/>
      <c r="D606" s="288"/>
      <c r="E606" s="288"/>
      <c r="F606" s="350" t="s">
        <v>17</v>
      </c>
      <c r="G606" s="350"/>
      <c r="H606" s="56">
        <f>SUM(H601:H605)</f>
        <v>100</v>
      </c>
      <c r="I606" s="56">
        <f>SUM(I601:I605)</f>
        <v>100</v>
      </c>
      <c r="J606" s="56"/>
      <c r="K606" s="79">
        <f>J601-I606</f>
        <v>0</v>
      </c>
      <c r="L606" s="56"/>
      <c r="M606" s="114"/>
    </row>
    <row r="607" spans="1:13" ht="15" thickTop="1" x14ac:dyDescent="0.3">
      <c r="A607" s="248">
        <v>101</v>
      </c>
      <c r="B607" s="328" t="s">
        <v>503</v>
      </c>
      <c r="C607" s="286" t="s">
        <v>277</v>
      </c>
      <c r="D607" s="286" t="s">
        <v>489</v>
      </c>
      <c r="E607" s="292" t="s">
        <v>504</v>
      </c>
      <c r="F607" s="16">
        <v>6864</v>
      </c>
      <c r="G607" s="27" t="s">
        <v>505</v>
      </c>
      <c r="H607" s="16">
        <v>500</v>
      </c>
      <c r="I607" s="16">
        <f t="shared" ref="I607:I611" si="136">SUM(H607:H607)</f>
        <v>500</v>
      </c>
      <c r="J607" s="340">
        <v>500</v>
      </c>
      <c r="K607" s="71"/>
      <c r="L607" s="16" t="s">
        <v>187</v>
      </c>
      <c r="M607" s="114"/>
    </row>
    <row r="608" spans="1:13" x14ac:dyDescent="0.3">
      <c r="A608" s="241"/>
      <c r="B608" s="287"/>
      <c r="C608" s="287"/>
      <c r="D608" s="287"/>
      <c r="E608" s="287"/>
      <c r="F608" s="16"/>
      <c r="G608" s="27"/>
      <c r="H608" s="16"/>
      <c r="I608" s="16">
        <f t="shared" si="136"/>
        <v>0</v>
      </c>
      <c r="J608" s="340"/>
      <c r="K608" s="71"/>
      <c r="L608" s="46" t="s">
        <v>85</v>
      </c>
      <c r="M608" s="114"/>
    </row>
    <row r="609" spans="1:13" x14ac:dyDescent="0.3">
      <c r="A609" s="241"/>
      <c r="B609" s="287"/>
      <c r="C609" s="287"/>
      <c r="D609" s="287"/>
      <c r="E609" s="287"/>
      <c r="F609" s="16"/>
      <c r="G609" s="18"/>
      <c r="H609" s="16"/>
      <c r="I609" s="16">
        <f t="shared" si="136"/>
        <v>0</v>
      </c>
      <c r="J609" s="340"/>
      <c r="K609" s="71"/>
      <c r="L609" s="46" t="s">
        <v>86</v>
      </c>
      <c r="M609" s="114"/>
    </row>
    <row r="610" spans="1:13" x14ac:dyDescent="0.3">
      <c r="A610" s="241"/>
      <c r="B610" s="287"/>
      <c r="C610" s="287"/>
      <c r="D610" s="287"/>
      <c r="E610" s="287"/>
      <c r="F610" s="16"/>
      <c r="G610" s="16"/>
      <c r="H610" s="16"/>
      <c r="I610" s="16">
        <f t="shared" si="136"/>
        <v>0</v>
      </c>
      <c r="J610" s="340"/>
      <c r="K610" s="71"/>
      <c r="L610" s="16"/>
      <c r="M610" s="114"/>
    </row>
    <row r="611" spans="1:13" x14ac:dyDescent="0.3">
      <c r="A611" s="241"/>
      <c r="B611" s="287"/>
      <c r="C611" s="287"/>
      <c r="D611" s="287"/>
      <c r="E611" s="287"/>
      <c r="F611" s="16"/>
      <c r="G611" s="16"/>
      <c r="H611" s="16"/>
      <c r="I611" s="16">
        <f t="shared" si="136"/>
        <v>0</v>
      </c>
      <c r="J611" s="340"/>
      <c r="K611" s="71"/>
      <c r="L611" s="27"/>
      <c r="M611" s="114"/>
    </row>
    <row r="612" spans="1:13" ht="15" thickBot="1" x14ac:dyDescent="0.35">
      <c r="A612" s="242"/>
      <c r="B612" s="288"/>
      <c r="C612" s="288"/>
      <c r="D612" s="288"/>
      <c r="E612" s="288"/>
      <c r="F612" s="350" t="s">
        <v>17</v>
      </c>
      <c r="G612" s="350"/>
      <c r="H612" s="56">
        <f>SUM(H607:H611)</f>
        <v>500</v>
      </c>
      <c r="I612" s="56">
        <f>SUM(I607:I611)</f>
        <v>500</v>
      </c>
      <c r="J612" s="56"/>
      <c r="K612" s="79">
        <f>J607-I612</f>
        <v>0</v>
      </c>
      <c r="L612" s="56"/>
      <c r="M612" s="114"/>
    </row>
    <row r="613" spans="1:13" ht="15" thickTop="1" x14ac:dyDescent="0.3">
      <c r="A613" s="248">
        <v>102</v>
      </c>
      <c r="B613" s="328" t="s">
        <v>506</v>
      </c>
      <c r="C613" s="286" t="s">
        <v>386</v>
      </c>
      <c r="D613" s="286" t="s">
        <v>81</v>
      </c>
      <c r="E613" s="292" t="s">
        <v>507</v>
      </c>
      <c r="F613" s="16">
        <v>6893</v>
      </c>
      <c r="G613" s="27" t="s">
        <v>508</v>
      </c>
      <c r="H613" s="16">
        <v>1500</v>
      </c>
      <c r="I613" s="16">
        <f t="shared" ref="I613:I617" si="137">SUM(H613:H613)</f>
        <v>1500</v>
      </c>
      <c r="J613" s="340">
        <v>1500</v>
      </c>
      <c r="K613" s="71"/>
      <c r="L613" s="16" t="s">
        <v>84</v>
      </c>
      <c r="M613" s="114"/>
    </row>
    <row r="614" spans="1:13" x14ac:dyDescent="0.3">
      <c r="A614" s="241"/>
      <c r="B614" s="287"/>
      <c r="C614" s="287"/>
      <c r="D614" s="287"/>
      <c r="E614" s="287"/>
      <c r="F614" s="16"/>
      <c r="G614" s="27"/>
      <c r="H614" s="16"/>
      <c r="I614" s="16">
        <f t="shared" si="137"/>
        <v>0</v>
      </c>
      <c r="J614" s="340"/>
      <c r="K614" s="71"/>
      <c r="L614" s="46" t="s">
        <v>85</v>
      </c>
      <c r="M614" s="114"/>
    </row>
    <row r="615" spans="1:13" x14ac:dyDescent="0.3">
      <c r="A615" s="241"/>
      <c r="B615" s="287"/>
      <c r="C615" s="287"/>
      <c r="D615" s="287"/>
      <c r="E615" s="287"/>
      <c r="F615" s="16"/>
      <c r="G615" s="18"/>
      <c r="H615" s="16"/>
      <c r="I615" s="16">
        <f t="shared" si="137"/>
        <v>0</v>
      </c>
      <c r="J615" s="340"/>
      <c r="K615" s="71"/>
      <c r="L615" s="46" t="s">
        <v>86</v>
      </c>
      <c r="M615" s="114"/>
    </row>
    <row r="616" spans="1:13" x14ac:dyDescent="0.3">
      <c r="A616" s="241"/>
      <c r="B616" s="287"/>
      <c r="C616" s="287"/>
      <c r="D616" s="287"/>
      <c r="E616" s="287"/>
      <c r="F616" s="16"/>
      <c r="G616" s="16"/>
      <c r="H616" s="16"/>
      <c r="I616" s="16">
        <f t="shared" si="137"/>
        <v>0</v>
      </c>
      <c r="J616" s="340"/>
      <c r="K616" s="71"/>
      <c r="L616" s="16"/>
      <c r="M616" s="114"/>
    </row>
    <row r="617" spans="1:13" x14ac:dyDescent="0.3">
      <c r="A617" s="241"/>
      <c r="B617" s="287"/>
      <c r="C617" s="287"/>
      <c r="D617" s="287"/>
      <c r="E617" s="287"/>
      <c r="F617" s="16"/>
      <c r="G617" s="16"/>
      <c r="H617" s="16"/>
      <c r="I617" s="16">
        <f t="shared" si="137"/>
        <v>0</v>
      </c>
      <c r="J617" s="340"/>
      <c r="K617" s="71"/>
      <c r="L617" s="27"/>
      <c r="M617" s="114"/>
    </row>
    <row r="618" spans="1:13" ht="15" thickBot="1" x14ac:dyDescent="0.35">
      <c r="A618" s="242"/>
      <c r="B618" s="288"/>
      <c r="C618" s="288"/>
      <c r="D618" s="288"/>
      <c r="E618" s="288"/>
      <c r="F618" s="350" t="s">
        <v>17</v>
      </c>
      <c r="G618" s="350"/>
      <c r="H618" s="56">
        <f>SUM(H613:H617)</f>
        <v>1500</v>
      </c>
      <c r="I618" s="56">
        <f>SUM(I613:I617)</f>
        <v>1500</v>
      </c>
      <c r="J618" s="56"/>
      <c r="K618" s="79">
        <f>J613-I618</f>
        <v>0</v>
      </c>
      <c r="L618" s="56"/>
      <c r="M618" s="114"/>
    </row>
    <row r="619" spans="1:13" ht="18.600000000000001" thickTop="1" x14ac:dyDescent="0.35">
      <c r="A619" s="248">
        <v>103</v>
      </c>
      <c r="B619" s="328" t="s">
        <v>509</v>
      </c>
      <c r="C619" s="286" t="s">
        <v>141</v>
      </c>
      <c r="D619" s="286" t="s">
        <v>335</v>
      </c>
      <c r="E619" s="292" t="s">
        <v>510</v>
      </c>
      <c r="F619" s="16">
        <v>6898</v>
      </c>
      <c r="G619" s="27" t="s">
        <v>511</v>
      </c>
      <c r="H619" s="16">
        <v>5800</v>
      </c>
      <c r="I619" s="16">
        <f t="shared" ref="I619:I623" si="138">SUM(H619:H619)</f>
        <v>5800</v>
      </c>
      <c r="J619" s="340">
        <v>5800</v>
      </c>
      <c r="K619" s="71"/>
      <c r="L619" s="180" t="s">
        <v>97</v>
      </c>
      <c r="M619" s="114"/>
    </row>
    <row r="620" spans="1:13" x14ac:dyDescent="0.3">
      <c r="A620" s="241"/>
      <c r="B620" s="287"/>
      <c r="C620" s="287"/>
      <c r="D620" s="287"/>
      <c r="E620" s="287"/>
      <c r="F620" s="16"/>
      <c r="G620" s="27"/>
      <c r="H620" s="16"/>
      <c r="I620" s="16">
        <f t="shared" si="138"/>
        <v>0</v>
      </c>
      <c r="J620" s="340"/>
      <c r="K620" s="71"/>
      <c r="L620" s="46" t="s">
        <v>85</v>
      </c>
      <c r="M620" s="114"/>
    </row>
    <row r="621" spans="1:13" x14ac:dyDescent="0.3">
      <c r="A621" s="241"/>
      <c r="B621" s="287"/>
      <c r="C621" s="287"/>
      <c r="D621" s="287"/>
      <c r="E621" s="287"/>
      <c r="F621" s="16"/>
      <c r="G621" s="18"/>
      <c r="H621" s="16"/>
      <c r="I621" s="16">
        <f t="shared" si="138"/>
        <v>0</v>
      </c>
      <c r="J621" s="340"/>
      <c r="K621" s="71"/>
      <c r="L621" s="46" t="s">
        <v>86</v>
      </c>
      <c r="M621" s="114"/>
    </row>
    <row r="622" spans="1:13" x14ac:dyDescent="0.3">
      <c r="A622" s="241"/>
      <c r="B622" s="287"/>
      <c r="C622" s="287"/>
      <c r="D622" s="287"/>
      <c r="E622" s="287"/>
      <c r="F622" s="16"/>
      <c r="G622" s="16"/>
      <c r="H622" s="16"/>
      <c r="I622" s="16">
        <f t="shared" si="138"/>
        <v>0</v>
      </c>
      <c r="J622" s="340"/>
      <c r="K622" s="71"/>
      <c r="L622" s="16"/>
      <c r="M622" s="114"/>
    </row>
    <row r="623" spans="1:13" x14ac:dyDescent="0.3">
      <c r="A623" s="241"/>
      <c r="B623" s="287"/>
      <c r="C623" s="287"/>
      <c r="D623" s="287"/>
      <c r="E623" s="287"/>
      <c r="F623" s="16"/>
      <c r="G623" s="16"/>
      <c r="H623" s="16"/>
      <c r="I623" s="16">
        <f t="shared" si="138"/>
        <v>0</v>
      </c>
      <c r="J623" s="340"/>
      <c r="K623" s="71"/>
      <c r="L623" s="27"/>
      <c r="M623" s="114"/>
    </row>
    <row r="624" spans="1:13" ht="15" thickBot="1" x14ac:dyDescent="0.35">
      <c r="A624" s="242"/>
      <c r="B624" s="288"/>
      <c r="C624" s="288"/>
      <c r="D624" s="288"/>
      <c r="E624" s="288"/>
      <c r="F624" s="350" t="s">
        <v>17</v>
      </c>
      <c r="G624" s="350"/>
      <c r="H624" s="56">
        <f>SUM(H619:H623)</f>
        <v>5800</v>
      </c>
      <c r="I624" s="56">
        <f>SUM(I619:I623)</f>
        <v>5800</v>
      </c>
      <c r="J624" s="56"/>
      <c r="K624" s="79">
        <f>J619-I624</f>
        <v>0</v>
      </c>
      <c r="L624" s="56"/>
      <c r="M624" s="114"/>
    </row>
    <row r="625" spans="1:13" ht="15.75" customHeight="1" thickTop="1" x14ac:dyDescent="0.35">
      <c r="A625" s="248">
        <v>104</v>
      </c>
      <c r="B625" s="328" t="s">
        <v>512</v>
      </c>
      <c r="C625" s="286" t="s">
        <v>141</v>
      </c>
      <c r="D625" s="286" t="s">
        <v>335</v>
      </c>
      <c r="E625" s="292" t="s">
        <v>513</v>
      </c>
      <c r="F625" s="16">
        <v>6905</v>
      </c>
      <c r="G625" s="27" t="s">
        <v>514</v>
      </c>
      <c r="H625" s="16">
        <v>5800</v>
      </c>
      <c r="I625" s="16">
        <f t="shared" ref="I625:I629" si="139">SUM(H625:H625)</f>
        <v>5800</v>
      </c>
      <c r="J625" s="340">
        <v>5800</v>
      </c>
      <c r="K625" s="71"/>
      <c r="L625" s="180" t="s">
        <v>97</v>
      </c>
      <c r="M625" s="114"/>
    </row>
    <row r="626" spans="1:13" x14ac:dyDescent="0.3">
      <c r="A626" s="241"/>
      <c r="B626" s="287"/>
      <c r="C626" s="287"/>
      <c r="D626" s="287"/>
      <c r="E626" s="287"/>
      <c r="F626" s="16"/>
      <c r="G626" s="27"/>
      <c r="H626" s="16"/>
      <c r="I626" s="16">
        <f t="shared" si="139"/>
        <v>0</v>
      </c>
      <c r="J626" s="340"/>
      <c r="K626" s="71"/>
      <c r="L626" s="46" t="s">
        <v>85</v>
      </c>
      <c r="M626" s="114"/>
    </row>
    <row r="627" spans="1:13" x14ac:dyDescent="0.3">
      <c r="A627" s="241"/>
      <c r="B627" s="287"/>
      <c r="C627" s="287"/>
      <c r="D627" s="287"/>
      <c r="E627" s="287"/>
      <c r="F627" s="16"/>
      <c r="G627" s="18"/>
      <c r="H627" s="16"/>
      <c r="I627" s="16">
        <f t="shared" si="139"/>
        <v>0</v>
      </c>
      <c r="J627" s="340"/>
      <c r="K627" s="71"/>
      <c r="L627" s="46" t="s">
        <v>86</v>
      </c>
      <c r="M627" s="114"/>
    </row>
    <row r="628" spans="1:13" x14ac:dyDescent="0.3">
      <c r="A628" s="241"/>
      <c r="B628" s="287"/>
      <c r="C628" s="287"/>
      <c r="D628" s="287"/>
      <c r="E628" s="287"/>
      <c r="F628" s="16"/>
      <c r="G628" s="16"/>
      <c r="H628" s="16"/>
      <c r="I628" s="16">
        <f t="shared" si="139"/>
        <v>0</v>
      </c>
      <c r="J628" s="340"/>
      <c r="K628" s="71"/>
      <c r="L628" s="16"/>
      <c r="M628" s="114"/>
    </row>
    <row r="629" spans="1:13" x14ac:dyDescent="0.3">
      <c r="A629" s="241"/>
      <c r="B629" s="287"/>
      <c r="C629" s="287"/>
      <c r="D629" s="287"/>
      <c r="E629" s="287"/>
      <c r="F629" s="16"/>
      <c r="G629" s="16"/>
      <c r="H629" s="16"/>
      <c r="I629" s="16">
        <f t="shared" si="139"/>
        <v>0</v>
      </c>
      <c r="J629" s="340"/>
      <c r="K629" s="71"/>
      <c r="L629" s="27"/>
      <c r="M629" s="114"/>
    </row>
    <row r="630" spans="1:13" ht="15" thickBot="1" x14ac:dyDescent="0.35">
      <c r="A630" s="242"/>
      <c r="B630" s="288"/>
      <c r="C630" s="288"/>
      <c r="D630" s="288"/>
      <c r="E630" s="288"/>
      <c r="F630" s="350" t="s">
        <v>17</v>
      </c>
      <c r="G630" s="350"/>
      <c r="H630" s="56">
        <f>SUM(H625:H629)</f>
        <v>5800</v>
      </c>
      <c r="I630" s="56">
        <f>SUM(I625:I629)</f>
        <v>5800</v>
      </c>
      <c r="J630" s="56"/>
      <c r="K630" s="79">
        <f>J625-I630</f>
        <v>0</v>
      </c>
      <c r="L630" s="56"/>
      <c r="M630" s="114"/>
    </row>
    <row r="631" spans="1:13" ht="15" thickTop="1" x14ac:dyDescent="0.3">
      <c r="A631" s="248">
        <v>105</v>
      </c>
      <c r="B631" s="328" t="s">
        <v>515</v>
      </c>
      <c r="C631" s="286" t="s">
        <v>102</v>
      </c>
      <c r="D631" s="286" t="s">
        <v>489</v>
      </c>
      <c r="E631" s="292" t="s">
        <v>516</v>
      </c>
      <c r="F631" s="16">
        <v>6906</v>
      </c>
      <c r="G631" s="27" t="s">
        <v>517</v>
      </c>
      <c r="H631" s="16">
        <v>400</v>
      </c>
      <c r="I631" s="16">
        <f t="shared" ref="I631:I635" si="140">SUM(H631:H631)</f>
        <v>400</v>
      </c>
      <c r="J631" s="340">
        <v>400</v>
      </c>
      <c r="K631" s="71"/>
      <c r="L631" s="16" t="s">
        <v>138</v>
      </c>
      <c r="M631" s="114"/>
    </row>
    <row r="632" spans="1:13" x14ac:dyDescent="0.3">
      <c r="A632" s="241"/>
      <c r="B632" s="287"/>
      <c r="C632" s="287"/>
      <c r="D632" s="287"/>
      <c r="E632" s="287"/>
      <c r="F632" s="16"/>
      <c r="G632" s="27"/>
      <c r="H632" s="16"/>
      <c r="I632" s="16">
        <f t="shared" si="140"/>
        <v>0</v>
      </c>
      <c r="J632" s="340"/>
      <c r="K632" s="71"/>
      <c r="L632" s="46" t="s">
        <v>85</v>
      </c>
      <c r="M632" s="114"/>
    </row>
    <row r="633" spans="1:13" x14ac:dyDescent="0.3">
      <c r="A633" s="241"/>
      <c r="B633" s="287"/>
      <c r="C633" s="287"/>
      <c r="D633" s="287"/>
      <c r="E633" s="287"/>
      <c r="F633" s="16"/>
      <c r="G633" s="18"/>
      <c r="H633" s="16"/>
      <c r="I633" s="16">
        <f t="shared" si="140"/>
        <v>0</v>
      </c>
      <c r="J633" s="340"/>
      <c r="K633" s="71"/>
      <c r="L633" s="46" t="s">
        <v>86</v>
      </c>
      <c r="M633" s="114"/>
    </row>
    <row r="634" spans="1:13" x14ac:dyDescent="0.3">
      <c r="A634" s="241"/>
      <c r="B634" s="287"/>
      <c r="C634" s="287"/>
      <c r="D634" s="287"/>
      <c r="E634" s="287"/>
      <c r="F634" s="16"/>
      <c r="G634" s="16"/>
      <c r="H634" s="16"/>
      <c r="I634" s="16">
        <f t="shared" si="140"/>
        <v>0</v>
      </c>
      <c r="J634" s="340"/>
      <c r="K634" s="71"/>
      <c r="L634" s="16"/>
      <c r="M634" s="114"/>
    </row>
    <row r="635" spans="1:13" x14ac:dyDescent="0.3">
      <c r="A635" s="241"/>
      <c r="B635" s="287"/>
      <c r="C635" s="287"/>
      <c r="D635" s="287"/>
      <c r="E635" s="287"/>
      <c r="F635" s="16"/>
      <c r="G635" s="16"/>
      <c r="H635" s="16"/>
      <c r="I635" s="16">
        <f t="shared" si="140"/>
        <v>0</v>
      </c>
      <c r="J635" s="340"/>
      <c r="K635" s="71"/>
      <c r="L635" s="27"/>
      <c r="M635" s="114"/>
    </row>
    <row r="636" spans="1:13" ht="15" thickBot="1" x14ac:dyDescent="0.35">
      <c r="A636" s="242"/>
      <c r="B636" s="288"/>
      <c r="C636" s="288"/>
      <c r="D636" s="288"/>
      <c r="E636" s="288"/>
      <c r="F636" s="350" t="s">
        <v>17</v>
      </c>
      <c r="G636" s="350"/>
      <c r="H636" s="56">
        <f>SUM(H631:H635)</f>
        <v>400</v>
      </c>
      <c r="I636" s="56">
        <f>SUM(I631:I635)</f>
        <v>400</v>
      </c>
      <c r="J636" s="56"/>
      <c r="K636" s="79">
        <f>J631-I636</f>
        <v>0</v>
      </c>
      <c r="L636" s="56"/>
      <c r="M636" s="114"/>
    </row>
    <row r="637" spans="1:13" ht="15" thickTop="1" x14ac:dyDescent="0.3">
      <c r="A637" s="248">
        <v>106</v>
      </c>
      <c r="B637" s="328" t="s">
        <v>518</v>
      </c>
      <c r="C637" s="286" t="s">
        <v>102</v>
      </c>
      <c r="D637" s="286" t="s">
        <v>489</v>
      </c>
      <c r="E637" s="292" t="s">
        <v>519</v>
      </c>
      <c r="F637" s="16">
        <v>6907</v>
      </c>
      <c r="G637" s="27" t="s">
        <v>517</v>
      </c>
      <c r="H637" s="16">
        <v>400</v>
      </c>
      <c r="I637" s="16">
        <f t="shared" ref="I637:I641" si="141">SUM(H637:H637)</f>
        <v>400</v>
      </c>
      <c r="J637" s="340">
        <v>400</v>
      </c>
      <c r="K637" s="71"/>
      <c r="L637" s="16" t="s">
        <v>138</v>
      </c>
      <c r="M637" s="114"/>
    </row>
    <row r="638" spans="1:13" x14ac:dyDescent="0.3">
      <c r="A638" s="241"/>
      <c r="B638" s="287"/>
      <c r="C638" s="287"/>
      <c r="D638" s="287"/>
      <c r="E638" s="287"/>
      <c r="F638" s="16"/>
      <c r="G638" s="27"/>
      <c r="H638" s="16"/>
      <c r="I638" s="16">
        <f t="shared" si="141"/>
        <v>0</v>
      </c>
      <c r="J638" s="340"/>
      <c r="K638" s="71"/>
      <c r="L638" s="46" t="s">
        <v>85</v>
      </c>
      <c r="M638" s="114"/>
    </row>
    <row r="639" spans="1:13" x14ac:dyDescent="0.3">
      <c r="A639" s="241"/>
      <c r="B639" s="287"/>
      <c r="C639" s="287"/>
      <c r="D639" s="287"/>
      <c r="E639" s="287"/>
      <c r="F639" s="16"/>
      <c r="G639" s="18"/>
      <c r="H639" s="16"/>
      <c r="I639" s="16">
        <f t="shared" si="141"/>
        <v>0</v>
      </c>
      <c r="J639" s="340"/>
      <c r="K639" s="71"/>
      <c r="L639" s="46" t="s">
        <v>86</v>
      </c>
      <c r="M639" s="114"/>
    </row>
    <row r="640" spans="1:13" x14ac:dyDescent="0.3">
      <c r="A640" s="241"/>
      <c r="B640" s="287"/>
      <c r="C640" s="287"/>
      <c r="D640" s="287"/>
      <c r="E640" s="287"/>
      <c r="F640" s="16"/>
      <c r="G640" s="16"/>
      <c r="H640" s="16"/>
      <c r="I640" s="16">
        <f t="shared" si="141"/>
        <v>0</v>
      </c>
      <c r="J640" s="340"/>
      <c r="K640" s="71"/>
      <c r="L640" s="16"/>
      <c r="M640" s="114"/>
    </row>
    <row r="641" spans="1:13" x14ac:dyDescent="0.3">
      <c r="A641" s="241"/>
      <c r="B641" s="287"/>
      <c r="C641" s="287"/>
      <c r="D641" s="287"/>
      <c r="E641" s="287"/>
      <c r="F641" s="16"/>
      <c r="G641" s="16"/>
      <c r="H641" s="16"/>
      <c r="I641" s="16">
        <f t="shared" si="141"/>
        <v>0</v>
      </c>
      <c r="J641" s="340"/>
      <c r="K641" s="71"/>
      <c r="L641" s="27"/>
      <c r="M641" s="114"/>
    </row>
    <row r="642" spans="1:13" ht="15" thickBot="1" x14ac:dyDescent="0.35">
      <c r="A642" s="242"/>
      <c r="B642" s="288"/>
      <c r="C642" s="288"/>
      <c r="D642" s="288"/>
      <c r="E642" s="288"/>
      <c r="F642" s="350" t="s">
        <v>17</v>
      </c>
      <c r="G642" s="350"/>
      <c r="H642" s="56">
        <f>SUM(H637:H641)</f>
        <v>400</v>
      </c>
      <c r="I642" s="56">
        <f>SUM(I637:I641)</f>
        <v>400</v>
      </c>
      <c r="J642" s="56"/>
      <c r="K642" s="79">
        <f>J637-I642</f>
        <v>0</v>
      </c>
      <c r="L642" s="56"/>
      <c r="M642" s="114"/>
    </row>
    <row r="643" spans="1:13" ht="15" thickTop="1" x14ac:dyDescent="0.3">
      <c r="A643" s="248">
        <v>107</v>
      </c>
      <c r="B643" s="328" t="s">
        <v>399</v>
      </c>
      <c r="C643" s="286" t="s">
        <v>400</v>
      </c>
      <c r="D643" s="286" t="s">
        <v>520</v>
      </c>
      <c r="E643" s="292" t="s">
        <v>521</v>
      </c>
      <c r="F643" s="16">
        <v>6908</v>
      </c>
      <c r="G643" s="27" t="s">
        <v>517</v>
      </c>
      <c r="H643" s="16">
        <v>200</v>
      </c>
      <c r="I643" s="16">
        <f t="shared" ref="I643:I647" si="142">SUM(H643:H643)</f>
        <v>200</v>
      </c>
      <c r="J643" s="340">
        <v>200</v>
      </c>
      <c r="K643" s="71"/>
      <c r="L643" s="16" t="s">
        <v>138</v>
      </c>
      <c r="M643" s="114"/>
    </row>
    <row r="644" spans="1:13" x14ac:dyDescent="0.3">
      <c r="A644" s="241"/>
      <c r="B644" s="287"/>
      <c r="C644" s="287"/>
      <c r="D644" s="287"/>
      <c r="E644" s="287"/>
      <c r="F644" s="16"/>
      <c r="G644" s="27"/>
      <c r="H644" s="16"/>
      <c r="I644" s="16">
        <f t="shared" si="142"/>
        <v>0</v>
      </c>
      <c r="J644" s="340"/>
      <c r="K644" s="71"/>
      <c r="L644" s="46" t="s">
        <v>85</v>
      </c>
      <c r="M644" s="114"/>
    </row>
    <row r="645" spans="1:13" x14ac:dyDescent="0.3">
      <c r="A645" s="241"/>
      <c r="B645" s="287"/>
      <c r="C645" s="287"/>
      <c r="D645" s="287"/>
      <c r="E645" s="287"/>
      <c r="F645" s="16"/>
      <c r="G645" s="18"/>
      <c r="H645" s="16"/>
      <c r="I645" s="16">
        <f t="shared" si="142"/>
        <v>0</v>
      </c>
      <c r="J645" s="340"/>
      <c r="K645" s="71"/>
      <c r="L645" s="46" t="s">
        <v>86</v>
      </c>
      <c r="M645" s="114"/>
    </row>
    <row r="646" spans="1:13" x14ac:dyDescent="0.3">
      <c r="A646" s="241"/>
      <c r="B646" s="287"/>
      <c r="C646" s="287"/>
      <c r="D646" s="287"/>
      <c r="E646" s="287"/>
      <c r="F646" s="16"/>
      <c r="G646" s="16"/>
      <c r="H646" s="16"/>
      <c r="I646" s="16">
        <f t="shared" si="142"/>
        <v>0</v>
      </c>
      <c r="J646" s="340"/>
      <c r="K646" s="71"/>
      <c r="L646" s="16"/>
      <c r="M646" s="114"/>
    </row>
    <row r="647" spans="1:13" x14ac:dyDescent="0.3">
      <c r="A647" s="241"/>
      <c r="B647" s="287"/>
      <c r="C647" s="287"/>
      <c r="D647" s="287"/>
      <c r="E647" s="287"/>
      <c r="F647" s="16"/>
      <c r="G647" s="16"/>
      <c r="H647" s="16"/>
      <c r="I647" s="16">
        <f t="shared" si="142"/>
        <v>0</v>
      </c>
      <c r="J647" s="340"/>
      <c r="K647" s="71"/>
      <c r="L647" s="27"/>
      <c r="M647" s="114"/>
    </row>
    <row r="648" spans="1:13" ht="15" thickBot="1" x14ac:dyDescent="0.35">
      <c r="A648" s="242"/>
      <c r="B648" s="288"/>
      <c r="C648" s="288"/>
      <c r="D648" s="288"/>
      <c r="E648" s="288"/>
      <c r="F648" s="350" t="s">
        <v>17</v>
      </c>
      <c r="G648" s="350"/>
      <c r="H648" s="56">
        <f>SUM(H643:H647)</f>
        <v>200</v>
      </c>
      <c r="I648" s="56">
        <f>SUM(I643:I647)</f>
        <v>200</v>
      </c>
      <c r="J648" s="56"/>
      <c r="K648" s="79">
        <f>J643-I648</f>
        <v>0</v>
      </c>
      <c r="L648" s="56"/>
      <c r="M648" s="114"/>
    </row>
    <row r="649" spans="1:13" ht="15" thickTop="1" x14ac:dyDescent="0.3">
      <c r="A649" s="248">
        <v>108</v>
      </c>
      <c r="B649" s="328" t="s">
        <v>522</v>
      </c>
      <c r="C649" s="286" t="s">
        <v>102</v>
      </c>
      <c r="D649" s="286" t="s">
        <v>489</v>
      </c>
      <c r="E649" s="292" t="s">
        <v>523</v>
      </c>
      <c r="F649" s="16">
        <v>6909</v>
      </c>
      <c r="G649" s="27" t="s">
        <v>517</v>
      </c>
      <c r="H649" s="16">
        <v>600</v>
      </c>
      <c r="I649" s="16">
        <f t="shared" ref="I649:I653" si="143">SUM(H649:H649)</f>
        <v>600</v>
      </c>
      <c r="J649" s="340">
        <v>600</v>
      </c>
      <c r="K649" s="71"/>
      <c r="L649" s="16" t="s">
        <v>107</v>
      </c>
      <c r="M649" s="114"/>
    </row>
    <row r="650" spans="1:13" x14ac:dyDescent="0.3">
      <c r="A650" s="241"/>
      <c r="B650" s="287"/>
      <c r="C650" s="287"/>
      <c r="D650" s="287"/>
      <c r="E650" s="287"/>
      <c r="F650" s="16"/>
      <c r="G650" s="27"/>
      <c r="H650" s="16"/>
      <c r="I650" s="16">
        <f t="shared" si="143"/>
        <v>0</v>
      </c>
      <c r="J650" s="340"/>
      <c r="K650" s="71"/>
      <c r="L650" s="46" t="s">
        <v>85</v>
      </c>
      <c r="M650" s="114"/>
    </row>
    <row r="651" spans="1:13" x14ac:dyDescent="0.3">
      <c r="A651" s="241"/>
      <c r="B651" s="287"/>
      <c r="C651" s="287"/>
      <c r="D651" s="287"/>
      <c r="E651" s="287"/>
      <c r="F651" s="16"/>
      <c r="G651" s="18"/>
      <c r="H651" s="16"/>
      <c r="I651" s="16">
        <f t="shared" si="143"/>
        <v>0</v>
      </c>
      <c r="J651" s="340"/>
      <c r="K651" s="71"/>
      <c r="L651" s="46" t="s">
        <v>86</v>
      </c>
      <c r="M651" s="114"/>
    </row>
    <row r="652" spans="1:13" x14ac:dyDescent="0.3">
      <c r="A652" s="241"/>
      <c r="B652" s="287"/>
      <c r="C652" s="287"/>
      <c r="D652" s="287"/>
      <c r="E652" s="287"/>
      <c r="F652" s="16"/>
      <c r="G652" s="16"/>
      <c r="H652" s="16"/>
      <c r="I652" s="16">
        <f t="shared" si="143"/>
        <v>0</v>
      </c>
      <c r="J652" s="340"/>
      <c r="K652" s="71"/>
      <c r="L652" s="16"/>
      <c r="M652" s="114"/>
    </row>
    <row r="653" spans="1:13" x14ac:dyDescent="0.3">
      <c r="A653" s="241"/>
      <c r="B653" s="287"/>
      <c r="C653" s="287"/>
      <c r="D653" s="287"/>
      <c r="E653" s="287"/>
      <c r="F653" s="16"/>
      <c r="G653" s="16"/>
      <c r="H653" s="16"/>
      <c r="I653" s="16">
        <f t="shared" si="143"/>
        <v>0</v>
      </c>
      <c r="J653" s="340"/>
      <c r="K653" s="71"/>
      <c r="L653" s="27"/>
      <c r="M653" s="114"/>
    </row>
    <row r="654" spans="1:13" ht="15" thickBot="1" x14ac:dyDescent="0.35">
      <c r="A654" s="242"/>
      <c r="B654" s="288"/>
      <c r="C654" s="288"/>
      <c r="D654" s="288"/>
      <c r="E654" s="288"/>
      <c r="F654" s="350" t="s">
        <v>17</v>
      </c>
      <c r="G654" s="350"/>
      <c r="H654" s="56">
        <f>SUM(H649:H653)</f>
        <v>600</v>
      </c>
      <c r="I654" s="56">
        <f>SUM(I649:I653)</f>
        <v>600</v>
      </c>
      <c r="J654" s="56"/>
      <c r="K654" s="79">
        <f>J649-I654</f>
        <v>0</v>
      </c>
      <c r="L654" s="56"/>
      <c r="M654" s="114"/>
    </row>
    <row r="655" spans="1:13" ht="15" thickTop="1" x14ac:dyDescent="0.3">
      <c r="A655" s="248">
        <v>109</v>
      </c>
      <c r="B655" s="328" t="s">
        <v>145</v>
      </c>
      <c r="C655" s="286" t="s">
        <v>193</v>
      </c>
      <c r="D655" s="286" t="s">
        <v>489</v>
      </c>
      <c r="E655" s="292" t="s">
        <v>516</v>
      </c>
      <c r="F655" s="16">
        <v>6910</v>
      </c>
      <c r="G655" s="27" t="s">
        <v>517</v>
      </c>
      <c r="H655" s="16">
        <v>600</v>
      </c>
      <c r="I655" s="16">
        <f t="shared" ref="I655:I659" si="144">SUM(H655:H655)</f>
        <v>600</v>
      </c>
      <c r="J655" s="340">
        <v>600</v>
      </c>
      <c r="K655" s="71"/>
      <c r="L655" s="16" t="s">
        <v>107</v>
      </c>
      <c r="M655" s="114"/>
    </row>
    <row r="656" spans="1:13" x14ac:dyDescent="0.3">
      <c r="A656" s="241"/>
      <c r="B656" s="287"/>
      <c r="C656" s="287"/>
      <c r="D656" s="287"/>
      <c r="E656" s="287"/>
      <c r="F656" s="16"/>
      <c r="G656" s="27"/>
      <c r="H656" s="16"/>
      <c r="I656" s="16">
        <f t="shared" si="144"/>
        <v>0</v>
      </c>
      <c r="J656" s="340"/>
      <c r="K656" s="71"/>
      <c r="L656" s="46" t="s">
        <v>85</v>
      </c>
      <c r="M656" s="114"/>
    </row>
    <row r="657" spans="1:13" x14ac:dyDescent="0.3">
      <c r="A657" s="241"/>
      <c r="B657" s="287"/>
      <c r="C657" s="287"/>
      <c r="D657" s="287"/>
      <c r="E657" s="287"/>
      <c r="F657" s="16"/>
      <c r="G657" s="18"/>
      <c r="H657" s="16"/>
      <c r="I657" s="16">
        <f t="shared" si="144"/>
        <v>0</v>
      </c>
      <c r="J657" s="340"/>
      <c r="K657" s="71"/>
      <c r="L657" s="46" t="s">
        <v>86</v>
      </c>
      <c r="M657" s="114"/>
    </row>
    <row r="658" spans="1:13" x14ac:dyDescent="0.3">
      <c r="A658" s="241"/>
      <c r="B658" s="287"/>
      <c r="C658" s="287"/>
      <c r="D658" s="287"/>
      <c r="E658" s="287"/>
      <c r="F658" s="16"/>
      <c r="G658" s="16"/>
      <c r="H658" s="16"/>
      <c r="I658" s="16">
        <f t="shared" si="144"/>
        <v>0</v>
      </c>
      <c r="J658" s="340"/>
      <c r="K658" s="71"/>
      <c r="L658" s="16"/>
      <c r="M658" s="114"/>
    </row>
    <row r="659" spans="1:13" x14ac:dyDescent="0.3">
      <c r="A659" s="241"/>
      <c r="B659" s="287"/>
      <c r="C659" s="287"/>
      <c r="D659" s="287"/>
      <c r="E659" s="287"/>
      <c r="F659" s="16"/>
      <c r="G659" s="16"/>
      <c r="H659" s="16"/>
      <c r="I659" s="16">
        <f t="shared" si="144"/>
        <v>0</v>
      </c>
      <c r="J659" s="340"/>
      <c r="K659" s="71"/>
      <c r="L659" s="27"/>
      <c r="M659" s="114"/>
    </row>
    <row r="660" spans="1:13" ht="15" thickBot="1" x14ac:dyDescent="0.35">
      <c r="A660" s="242"/>
      <c r="B660" s="288"/>
      <c r="C660" s="288"/>
      <c r="D660" s="288"/>
      <c r="E660" s="288"/>
      <c r="F660" s="350" t="s">
        <v>17</v>
      </c>
      <c r="G660" s="350"/>
      <c r="H660" s="56">
        <f>SUM(H655:H659)</f>
        <v>600</v>
      </c>
      <c r="I660" s="56">
        <f>SUM(I655:I659)</f>
        <v>600</v>
      </c>
      <c r="J660" s="56"/>
      <c r="K660" s="79">
        <f>J655-I660</f>
        <v>0</v>
      </c>
      <c r="L660" s="56"/>
      <c r="M660" s="114"/>
    </row>
    <row r="661" spans="1:13" ht="15" thickTop="1" x14ac:dyDescent="0.3">
      <c r="A661" s="248">
        <v>110</v>
      </c>
      <c r="B661" s="328" t="s">
        <v>524</v>
      </c>
      <c r="C661" s="286" t="s">
        <v>193</v>
      </c>
      <c r="D661" s="286" t="s">
        <v>489</v>
      </c>
      <c r="E661" s="292" t="s">
        <v>521</v>
      </c>
      <c r="F661" s="16">
        <v>6911</v>
      </c>
      <c r="G661" s="27" t="s">
        <v>525</v>
      </c>
      <c r="H661" s="16">
        <v>400</v>
      </c>
      <c r="I661" s="16">
        <f t="shared" ref="I661:I665" si="145">SUM(H661:H661)</f>
        <v>400</v>
      </c>
      <c r="J661" s="340">
        <v>400</v>
      </c>
      <c r="K661" s="71"/>
      <c r="L661" s="16" t="s">
        <v>138</v>
      </c>
      <c r="M661" s="114"/>
    </row>
    <row r="662" spans="1:13" x14ac:dyDescent="0.3">
      <c r="A662" s="241"/>
      <c r="B662" s="287"/>
      <c r="C662" s="287"/>
      <c r="D662" s="287"/>
      <c r="E662" s="287"/>
      <c r="F662" s="16"/>
      <c r="G662" s="27"/>
      <c r="H662" s="16"/>
      <c r="I662" s="16">
        <f t="shared" si="145"/>
        <v>0</v>
      </c>
      <c r="J662" s="340"/>
      <c r="K662" s="71"/>
      <c r="L662" s="46" t="s">
        <v>85</v>
      </c>
      <c r="M662" s="114"/>
    </row>
    <row r="663" spans="1:13" x14ac:dyDescent="0.3">
      <c r="A663" s="241"/>
      <c r="B663" s="287"/>
      <c r="C663" s="287"/>
      <c r="D663" s="287"/>
      <c r="E663" s="287"/>
      <c r="F663" s="16"/>
      <c r="G663" s="18"/>
      <c r="H663" s="16"/>
      <c r="I663" s="16">
        <f t="shared" si="145"/>
        <v>0</v>
      </c>
      <c r="J663" s="340"/>
      <c r="K663" s="71"/>
      <c r="L663" s="46" t="s">
        <v>86</v>
      </c>
      <c r="M663" s="114"/>
    </row>
    <row r="664" spans="1:13" x14ac:dyDescent="0.3">
      <c r="A664" s="241"/>
      <c r="B664" s="287"/>
      <c r="C664" s="287"/>
      <c r="D664" s="287"/>
      <c r="E664" s="287"/>
      <c r="F664" s="16"/>
      <c r="G664" s="16"/>
      <c r="H664" s="16"/>
      <c r="I664" s="16">
        <f t="shared" si="145"/>
        <v>0</v>
      </c>
      <c r="J664" s="340"/>
      <c r="K664" s="71"/>
      <c r="L664" s="16"/>
      <c r="M664" s="114"/>
    </row>
    <row r="665" spans="1:13" x14ac:dyDescent="0.3">
      <c r="A665" s="241"/>
      <c r="B665" s="287"/>
      <c r="C665" s="287"/>
      <c r="D665" s="287"/>
      <c r="E665" s="287"/>
      <c r="F665" s="16"/>
      <c r="G665" s="16"/>
      <c r="H665" s="16"/>
      <c r="I665" s="16">
        <f t="shared" si="145"/>
        <v>0</v>
      </c>
      <c r="J665" s="340"/>
      <c r="K665" s="71"/>
      <c r="L665" s="27"/>
      <c r="M665" s="114"/>
    </row>
    <row r="666" spans="1:13" ht="15" thickBot="1" x14ac:dyDescent="0.35">
      <c r="A666" s="242"/>
      <c r="B666" s="288"/>
      <c r="C666" s="288"/>
      <c r="D666" s="288"/>
      <c r="E666" s="288"/>
      <c r="F666" s="350" t="s">
        <v>17</v>
      </c>
      <c r="G666" s="350"/>
      <c r="H666" s="56">
        <f>SUM(H661:H665)</f>
        <v>400</v>
      </c>
      <c r="I666" s="56">
        <f>SUM(I661:I665)</f>
        <v>400</v>
      </c>
      <c r="J666" s="56"/>
      <c r="K666" s="79">
        <f>J661-I666</f>
        <v>0</v>
      </c>
      <c r="L666" s="56"/>
      <c r="M666" s="114"/>
    </row>
    <row r="667" spans="1:13" ht="15" thickTop="1" x14ac:dyDescent="0.3">
      <c r="A667" s="248">
        <v>111</v>
      </c>
      <c r="B667" s="328" t="s">
        <v>526</v>
      </c>
      <c r="C667" s="286" t="s">
        <v>193</v>
      </c>
      <c r="D667" s="286" t="s">
        <v>489</v>
      </c>
      <c r="E667" s="292" t="s">
        <v>517</v>
      </c>
      <c r="F667" s="16">
        <v>6912</v>
      </c>
      <c r="G667" s="27" t="s">
        <v>525</v>
      </c>
      <c r="H667" s="16">
        <v>200</v>
      </c>
      <c r="I667" s="16">
        <f t="shared" ref="I667:I671" si="146">SUM(H667:H667)</f>
        <v>200</v>
      </c>
      <c r="J667" s="340">
        <v>200</v>
      </c>
      <c r="K667" s="71"/>
      <c r="L667" s="16" t="s">
        <v>253</v>
      </c>
      <c r="M667" s="114"/>
    </row>
    <row r="668" spans="1:13" x14ac:dyDescent="0.3">
      <c r="A668" s="241"/>
      <c r="B668" s="287"/>
      <c r="C668" s="287"/>
      <c r="D668" s="287"/>
      <c r="E668" s="287"/>
      <c r="F668" s="16"/>
      <c r="G668" s="27"/>
      <c r="H668" s="16"/>
      <c r="I668" s="16">
        <f t="shared" si="146"/>
        <v>0</v>
      </c>
      <c r="J668" s="340"/>
      <c r="K668" s="71"/>
      <c r="L668" s="46" t="s">
        <v>85</v>
      </c>
      <c r="M668" s="114"/>
    </row>
    <row r="669" spans="1:13" x14ac:dyDescent="0.3">
      <c r="A669" s="241"/>
      <c r="B669" s="287"/>
      <c r="C669" s="287"/>
      <c r="D669" s="287"/>
      <c r="E669" s="287"/>
      <c r="F669" s="16"/>
      <c r="G669" s="18"/>
      <c r="H669" s="16"/>
      <c r="I669" s="16">
        <f t="shared" si="146"/>
        <v>0</v>
      </c>
      <c r="J669" s="340"/>
      <c r="K669" s="71"/>
      <c r="L669" s="46" t="s">
        <v>86</v>
      </c>
      <c r="M669" s="114"/>
    </row>
    <row r="670" spans="1:13" x14ac:dyDescent="0.3">
      <c r="A670" s="241"/>
      <c r="B670" s="287"/>
      <c r="C670" s="287"/>
      <c r="D670" s="287"/>
      <c r="E670" s="287"/>
      <c r="F670" s="16"/>
      <c r="G670" s="16"/>
      <c r="H670" s="16"/>
      <c r="I670" s="16">
        <f t="shared" si="146"/>
        <v>0</v>
      </c>
      <c r="J670" s="340"/>
      <c r="K670" s="71"/>
      <c r="L670" s="16"/>
      <c r="M670" s="114"/>
    </row>
    <row r="671" spans="1:13" x14ac:dyDescent="0.3">
      <c r="A671" s="241"/>
      <c r="B671" s="287"/>
      <c r="C671" s="287"/>
      <c r="D671" s="287"/>
      <c r="E671" s="287"/>
      <c r="F671" s="16"/>
      <c r="G671" s="16"/>
      <c r="H671" s="16"/>
      <c r="I671" s="16">
        <f t="shared" si="146"/>
        <v>0</v>
      </c>
      <c r="J671" s="340"/>
      <c r="K671" s="71"/>
      <c r="L671" s="27"/>
      <c r="M671" s="114"/>
    </row>
    <row r="672" spans="1:13" ht="15" thickBot="1" x14ac:dyDescent="0.35">
      <c r="A672" s="242"/>
      <c r="B672" s="288"/>
      <c r="C672" s="288"/>
      <c r="D672" s="288"/>
      <c r="E672" s="288"/>
      <c r="F672" s="350" t="s">
        <v>17</v>
      </c>
      <c r="G672" s="350"/>
      <c r="H672" s="56">
        <f>SUM(H667:H671)</f>
        <v>200</v>
      </c>
      <c r="I672" s="56">
        <f>SUM(I667:I671)</f>
        <v>200</v>
      </c>
      <c r="J672" s="56"/>
      <c r="K672" s="79">
        <f>J667-I672</f>
        <v>0</v>
      </c>
      <c r="L672" s="56"/>
      <c r="M672" s="114"/>
    </row>
    <row r="673" spans="1:13" ht="15.75" customHeight="1" thickTop="1" x14ac:dyDescent="0.3">
      <c r="A673" s="248">
        <v>112</v>
      </c>
      <c r="B673" s="328" t="s">
        <v>527</v>
      </c>
      <c r="C673" s="286" t="s">
        <v>193</v>
      </c>
      <c r="D673" s="286" t="s">
        <v>489</v>
      </c>
      <c r="E673" s="292" t="s">
        <v>521</v>
      </c>
      <c r="F673" s="16">
        <v>6913</v>
      </c>
      <c r="G673" s="27" t="s">
        <v>525</v>
      </c>
      <c r="H673" s="16">
        <v>400</v>
      </c>
      <c r="I673" s="16">
        <f t="shared" ref="I673:I677" si="147">SUM(H673:H673)</f>
        <v>400</v>
      </c>
      <c r="J673" s="340">
        <v>400</v>
      </c>
      <c r="K673" s="71"/>
      <c r="L673" s="16" t="s">
        <v>138</v>
      </c>
      <c r="M673" s="114"/>
    </row>
    <row r="674" spans="1:13" x14ac:dyDescent="0.3">
      <c r="A674" s="241"/>
      <c r="B674" s="287"/>
      <c r="C674" s="287"/>
      <c r="D674" s="287"/>
      <c r="E674" s="287"/>
      <c r="F674" s="16"/>
      <c r="G674" s="27"/>
      <c r="H674" s="16"/>
      <c r="I674" s="16">
        <f t="shared" si="147"/>
        <v>0</v>
      </c>
      <c r="J674" s="340"/>
      <c r="K674" s="71"/>
      <c r="L674" s="46" t="s">
        <v>85</v>
      </c>
      <c r="M674" s="114"/>
    </row>
    <row r="675" spans="1:13" x14ac:dyDescent="0.3">
      <c r="A675" s="241"/>
      <c r="B675" s="287"/>
      <c r="C675" s="287"/>
      <c r="D675" s="287"/>
      <c r="E675" s="287"/>
      <c r="F675" s="16"/>
      <c r="G675" s="18"/>
      <c r="H675" s="16"/>
      <c r="I675" s="16">
        <f t="shared" si="147"/>
        <v>0</v>
      </c>
      <c r="J675" s="340"/>
      <c r="K675" s="71"/>
      <c r="L675" s="46" t="s">
        <v>86</v>
      </c>
      <c r="M675" s="114"/>
    </row>
    <row r="676" spans="1:13" x14ac:dyDescent="0.3">
      <c r="A676" s="241"/>
      <c r="B676" s="287"/>
      <c r="C676" s="287"/>
      <c r="D676" s="287"/>
      <c r="E676" s="287"/>
      <c r="F676" s="16"/>
      <c r="G676" s="16"/>
      <c r="H676" s="16"/>
      <c r="I676" s="16">
        <f t="shared" si="147"/>
        <v>0</v>
      </c>
      <c r="J676" s="340"/>
      <c r="K676" s="71"/>
      <c r="L676" s="16"/>
      <c r="M676" s="114"/>
    </row>
    <row r="677" spans="1:13" x14ac:dyDescent="0.3">
      <c r="A677" s="241"/>
      <c r="B677" s="287"/>
      <c r="C677" s="287"/>
      <c r="D677" s="287"/>
      <c r="E677" s="287"/>
      <c r="F677" s="16"/>
      <c r="G677" s="16"/>
      <c r="H677" s="16"/>
      <c r="I677" s="16">
        <f t="shared" si="147"/>
        <v>0</v>
      </c>
      <c r="J677" s="340"/>
      <c r="K677" s="71"/>
      <c r="L677" s="27"/>
      <c r="M677" s="114"/>
    </row>
    <row r="678" spans="1:13" ht="15" thickBot="1" x14ac:dyDescent="0.35">
      <c r="A678" s="242"/>
      <c r="B678" s="288"/>
      <c r="C678" s="288"/>
      <c r="D678" s="288"/>
      <c r="E678" s="288"/>
      <c r="F678" s="350" t="s">
        <v>17</v>
      </c>
      <c r="G678" s="350"/>
      <c r="H678" s="56">
        <f>SUM(H673:H677)</f>
        <v>400</v>
      </c>
      <c r="I678" s="56">
        <f>SUM(I673:I677)</f>
        <v>400</v>
      </c>
      <c r="J678" s="56"/>
      <c r="K678" s="79">
        <f>J673-I678</f>
        <v>0</v>
      </c>
      <c r="L678" s="56"/>
      <c r="M678" s="114"/>
    </row>
    <row r="679" spans="1:13" ht="15" thickTop="1" x14ac:dyDescent="0.3">
      <c r="A679" s="248">
        <v>113</v>
      </c>
      <c r="B679" s="328" t="s">
        <v>206</v>
      </c>
      <c r="C679" s="286" t="s">
        <v>383</v>
      </c>
      <c r="D679" s="286" t="s">
        <v>489</v>
      </c>
      <c r="E679" s="292" t="s">
        <v>528</v>
      </c>
      <c r="F679" s="16">
        <v>6931</v>
      </c>
      <c r="G679" s="27" t="s">
        <v>529</v>
      </c>
      <c r="H679" s="16">
        <v>400</v>
      </c>
      <c r="I679" s="16">
        <f t="shared" ref="I679:I683" si="148">SUM(H679:H679)</f>
        <v>400</v>
      </c>
      <c r="J679" s="340">
        <v>400</v>
      </c>
      <c r="K679" s="71"/>
      <c r="L679" s="16" t="s">
        <v>138</v>
      </c>
      <c r="M679" s="114"/>
    </row>
    <row r="680" spans="1:13" x14ac:dyDescent="0.3">
      <c r="A680" s="241"/>
      <c r="B680" s="287"/>
      <c r="C680" s="287"/>
      <c r="D680" s="287"/>
      <c r="E680" s="287"/>
      <c r="F680" s="16"/>
      <c r="G680" s="27"/>
      <c r="H680" s="16"/>
      <c r="I680" s="16">
        <f t="shared" si="148"/>
        <v>0</v>
      </c>
      <c r="J680" s="340"/>
      <c r="K680" s="71"/>
      <c r="L680" s="46" t="s">
        <v>85</v>
      </c>
      <c r="M680" s="114"/>
    </row>
    <row r="681" spans="1:13" x14ac:dyDescent="0.3">
      <c r="A681" s="241"/>
      <c r="B681" s="287"/>
      <c r="C681" s="287"/>
      <c r="D681" s="287"/>
      <c r="E681" s="287"/>
      <c r="F681" s="16"/>
      <c r="G681" s="18"/>
      <c r="H681" s="16"/>
      <c r="I681" s="16">
        <f t="shared" si="148"/>
        <v>0</v>
      </c>
      <c r="J681" s="340"/>
      <c r="K681" s="71"/>
      <c r="L681" s="46" t="s">
        <v>86</v>
      </c>
      <c r="M681" s="114"/>
    </row>
    <row r="682" spans="1:13" x14ac:dyDescent="0.3">
      <c r="A682" s="241"/>
      <c r="B682" s="287"/>
      <c r="C682" s="287"/>
      <c r="D682" s="287"/>
      <c r="E682" s="287"/>
      <c r="F682" s="16"/>
      <c r="G682" s="16"/>
      <c r="H682" s="16"/>
      <c r="I682" s="16">
        <f t="shared" si="148"/>
        <v>0</v>
      </c>
      <c r="J682" s="340"/>
      <c r="K682" s="71"/>
      <c r="L682" s="16"/>
      <c r="M682" s="114"/>
    </row>
    <row r="683" spans="1:13" x14ac:dyDescent="0.3">
      <c r="A683" s="241"/>
      <c r="B683" s="287"/>
      <c r="C683" s="287"/>
      <c r="D683" s="287"/>
      <c r="E683" s="287"/>
      <c r="F683" s="16"/>
      <c r="G683" s="16"/>
      <c r="H683" s="16"/>
      <c r="I683" s="16">
        <f t="shared" si="148"/>
        <v>0</v>
      </c>
      <c r="J683" s="340"/>
      <c r="K683" s="71"/>
      <c r="L683" s="27"/>
      <c r="M683" s="114"/>
    </row>
    <row r="684" spans="1:13" ht="15" thickBot="1" x14ac:dyDescent="0.35">
      <c r="A684" s="242"/>
      <c r="B684" s="288"/>
      <c r="C684" s="288"/>
      <c r="D684" s="288"/>
      <c r="E684" s="288"/>
      <c r="F684" s="350" t="s">
        <v>17</v>
      </c>
      <c r="G684" s="350"/>
      <c r="H684" s="56">
        <f>SUM(H679:H683)</f>
        <v>400</v>
      </c>
      <c r="I684" s="56">
        <f>SUM(I679:I683)</f>
        <v>400</v>
      </c>
      <c r="J684" s="56"/>
      <c r="K684" s="79">
        <f>J679-I684</f>
        <v>0</v>
      </c>
      <c r="L684" s="56"/>
      <c r="M684" s="114"/>
    </row>
    <row r="685" spans="1:13" ht="15.75" customHeight="1" thickTop="1" x14ac:dyDescent="0.35">
      <c r="A685" s="248">
        <v>114</v>
      </c>
      <c r="B685" s="386" t="s">
        <v>738</v>
      </c>
      <c r="C685" s="386" t="s">
        <v>133</v>
      </c>
      <c r="D685" s="386" t="s">
        <v>739</v>
      </c>
      <c r="E685" s="394" t="s">
        <v>743</v>
      </c>
      <c r="F685" s="16">
        <v>6956</v>
      </c>
      <c r="G685" s="27" t="s">
        <v>670</v>
      </c>
      <c r="H685" s="16">
        <v>8000</v>
      </c>
      <c r="I685" s="16">
        <f t="shared" ref="I685:I689" si="149">SUM(H685:H685)</f>
        <v>8000</v>
      </c>
      <c r="J685" s="340">
        <v>8000</v>
      </c>
      <c r="K685" s="71"/>
      <c r="L685" s="180" t="s">
        <v>376</v>
      </c>
      <c r="M685" s="114"/>
    </row>
    <row r="686" spans="1:13" x14ac:dyDescent="0.3">
      <c r="A686" s="241"/>
      <c r="B686" s="386"/>
      <c r="C686" s="386"/>
      <c r="D686" s="386"/>
      <c r="E686" s="386"/>
      <c r="F686" s="16"/>
      <c r="G686" s="27"/>
      <c r="H686" s="16"/>
      <c r="I686" s="16">
        <f t="shared" si="149"/>
        <v>0</v>
      </c>
      <c r="J686" s="340"/>
      <c r="K686" s="71"/>
      <c r="L686" s="46" t="s">
        <v>85</v>
      </c>
      <c r="M686" s="114"/>
    </row>
    <row r="687" spans="1:13" x14ac:dyDescent="0.3">
      <c r="A687" s="241"/>
      <c r="B687" s="386"/>
      <c r="C687" s="386"/>
      <c r="D687" s="386"/>
      <c r="E687" s="386"/>
      <c r="F687" s="16"/>
      <c r="G687" s="18"/>
      <c r="H687" s="16"/>
      <c r="I687" s="16">
        <f t="shared" si="149"/>
        <v>0</v>
      </c>
      <c r="J687" s="340"/>
      <c r="K687" s="71"/>
      <c r="L687" s="46" t="s">
        <v>86</v>
      </c>
      <c r="M687" s="114"/>
    </row>
    <row r="688" spans="1:13" x14ac:dyDescent="0.3">
      <c r="A688" s="241"/>
      <c r="B688" s="386"/>
      <c r="C688" s="386"/>
      <c r="D688" s="386"/>
      <c r="E688" s="386"/>
      <c r="F688" s="16"/>
      <c r="G688" s="16"/>
      <c r="H688" s="16"/>
      <c r="I688" s="16">
        <f t="shared" si="149"/>
        <v>0</v>
      </c>
      <c r="J688" s="340"/>
      <c r="K688" s="71"/>
      <c r="L688" s="16"/>
      <c r="M688" s="114"/>
    </row>
    <row r="689" spans="1:13" x14ac:dyDescent="0.3">
      <c r="A689" s="241"/>
      <c r="B689" s="386"/>
      <c r="C689" s="386"/>
      <c r="D689" s="386"/>
      <c r="E689" s="386"/>
      <c r="F689" s="16"/>
      <c r="G689" s="16"/>
      <c r="H689" s="16"/>
      <c r="I689" s="16">
        <f t="shared" si="149"/>
        <v>0</v>
      </c>
      <c r="J689" s="340"/>
      <c r="K689" s="71"/>
      <c r="L689" s="27"/>
      <c r="M689" s="114"/>
    </row>
    <row r="690" spans="1:13" ht="15" thickBot="1" x14ac:dyDescent="0.35">
      <c r="A690" s="242"/>
      <c r="B690" s="386"/>
      <c r="C690" s="386"/>
      <c r="D690" s="386"/>
      <c r="E690" s="386"/>
      <c r="F690" s="350" t="s">
        <v>17</v>
      </c>
      <c r="G690" s="350"/>
      <c r="H690" s="56">
        <f>SUM(H685:H689)</f>
        <v>8000</v>
      </c>
      <c r="I690" s="56">
        <f>SUM(I685:I689)</f>
        <v>8000</v>
      </c>
      <c r="J690" s="56"/>
      <c r="K690" s="79">
        <f>J685-I690</f>
        <v>0</v>
      </c>
      <c r="L690" s="56"/>
      <c r="M690" s="114"/>
    </row>
    <row r="691" spans="1:13" ht="15" thickTop="1" x14ac:dyDescent="0.3">
      <c r="A691" s="248">
        <v>115</v>
      </c>
      <c r="B691" s="328" t="s">
        <v>821</v>
      </c>
      <c r="C691" s="286" t="s">
        <v>114</v>
      </c>
      <c r="D691" s="286" t="s">
        <v>489</v>
      </c>
      <c r="E691" s="292" t="s">
        <v>822</v>
      </c>
      <c r="F691" s="16">
        <v>6959</v>
      </c>
      <c r="G691" s="27" t="s">
        <v>568</v>
      </c>
      <c r="H691" s="16">
        <v>600</v>
      </c>
      <c r="I691" s="16">
        <f t="shared" ref="I691:I695" si="150">SUM(H691:H691)</f>
        <v>600</v>
      </c>
      <c r="J691" s="340">
        <v>600</v>
      </c>
      <c r="K691" s="71"/>
      <c r="L691" s="16" t="s">
        <v>107</v>
      </c>
      <c r="M691" s="114"/>
    </row>
    <row r="692" spans="1:13" x14ac:dyDescent="0.3">
      <c r="A692" s="241"/>
      <c r="B692" s="287"/>
      <c r="C692" s="287"/>
      <c r="D692" s="287"/>
      <c r="E692" s="287"/>
      <c r="F692" s="16"/>
      <c r="G692" s="27"/>
      <c r="H692" s="16"/>
      <c r="I692" s="16">
        <f t="shared" si="150"/>
        <v>0</v>
      </c>
      <c r="J692" s="340"/>
      <c r="K692" s="71"/>
      <c r="L692" s="46" t="s">
        <v>85</v>
      </c>
      <c r="M692" s="114"/>
    </row>
    <row r="693" spans="1:13" x14ac:dyDescent="0.3">
      <c r="A693" s="241"/>
      <c r="B693" s="287"/>
      <c r="C693" s="287"/>
      <c r="D693" s="287"/>
      <c r="E693" s="287"/>
      <c r="F693" s="16"/>
      <c r="G693" s="18"/>
      <c r="H693" s="16"/>
      <c r="I693" s="16">
        <f t="shared" si="150"/>
        <v>0</v>
      </c>
      <c r="J693" s="340"/>
      <c r="K693" s="71"/>
      <c r="L693" s="46" t="s">
        <v>86</v>
      </c>
      <c r="M693" s="114"/>
    </row>
    <row r="694" spans="1:13" x14ac:dyDescent="0.3">
      <c r="A694" s="241"/>
      <c r="B694" s="287"/>
      <c r="C694" s="287"/>
      <c r="D694" s="287"/>
      <c r="E694" s="287"/>
      <c r="F694" s="16"/>
      <c r="G694" s="16"/>
      <c r="H694" s="16"/>
      <c r="I694" s="16">
        <f t="shared" si="150"/>
        <v>0</v>
      </c>
      <c r="J694" s="340"/>
      <c r="K694" s="71"/>
      <c r="L694" s="16"/>
      <c r="M694" s="114"/>
    </row>
    <row r="695" spans="1:13" x14ac:dyDescent="0.3">
      <c r="A695" s="241"/>
      <c r="B695" s="287"/>
      <c r="C695" s="287"/>
      <c r="D695" s="287"/>
      <c r="E695" s="287"/>
      <c r="F695" s="16"/>
      <c r="G695" s="16"/>
      <c r="H695" s="16"/>
      <c r="I695" s="16">
        <f t="shared" si="150"/>
        <v>0</v>
      </c>
      <c r="J695" s="340"/>
      <c r="K695" s="71"/>
      <c r="L695" s="27"/>
      <c r="M695" s="114"/>
    </row>
    <row r="696" spans="1:13" ht="15" thickBot="1" x14ac:dyDescent="0.35">
      <c r="A696" s="242"/>
      <c r="B696" s="288"/>
      <c r="C696" s="288"/>
      <c r="D696" s="288"/>
      <c r="E696" s="288"/>
      <c r="F696" s="350" t="s">
        <v>17</v>
      </c>
      <c r="G696" s="350"/>
      <c r="H696" s="56">
        <f>SUM(H691:H695)</f>
        <v>600</v>
      </c>
      <c r="I696" s="56">
        <f>SUM(I691:I695)</f>
        <v>600</v>
      </c>
      <c r="J696" s="56"/>
      <c r="K696" s="79">
        <f>J691-I696</f>
        <v>0</v>
      </c>
      <c r="L696" s="56"/>
      <c r="M696" s="114"/>
    </row>
    <row r="697" spans="1:13" ht="15.75" customHeight="1" thickTop="1" x14ac:dyDescent="0.3">
      <c r="A697" s="248">
        <v>116</v>
      </c>
      <c r="B697" s="283" t="s">
        <v>823</v>
      </c>
      <c r="C697" s="286" t="s">
        <v>207</v>
      </c>
      <c r="D697" s="286" t="s">
        <v>489</v>
      </c>
      <c r="E697" s="292" t="s">
        <v>824</v>
      </c>
      <c r="F697" s="16">
        <v>6961</v>
      </c>
      <c r="G697" s="27" t="s">
        <v>748</v>
      </c>
      <c r="H697" s="16">
        <v>400</v>
      </c>
      <c r="I697" s="16">
        <f t="shared" ref="I697:I701" si="151">SUM(H697:H697)</f>
        <v>400</v>
      </c>
      <c r="J697" s="340">
        <v>400</v>
      </c>
      <c r="K697" s="71"/>
      <c r="L697" s="16" t="s">
        <v>138</v>
      </c>
      <c r="M697" s="114"/>
    </row>
    <row r="698" spans="1:13" x14ac:dyDescent="0.3">
      <c r="A698" s="241"/>
      <c r="B698" s="284"/>
      <c r="C698" s="287"/>
      <c r="D698" s="287"/>
      <c r="E698" s="287"/>
      <c r="F698" s="16"/>
      <c r="G698" s="27"/>
      <c r="H698" s="16"/>
      <c r="I698" s="16">
        <f t="shared" si="151"/>
        <v>0</v>
      </c>
      <c r="J698" s="340"/>
      <c r="K698" s="71"/>
      <c r="L698" s="46" t="s">
        <v>85</v>
      </c>
      <c r="M698" s="114"/>
    </row>
    <row r="699" spans="1:13" x14ac:dyDescent="0.3">
      <c r="A699" s="241"/>
      <c r="B699" s="284"/>
      <c r="C699" s="287"/>
      <c r="D699" s="287"/>
      <c r="E699" s="287"/>
      <c r="F699" s="16"/>
      <c r="G699" s="18"/>
      <c r="H699" s="16"/>
      <c r="I699" s="16">
        <f t="shared" si="151"/>
        <v>0</v>
      </c>
      <c r="J699" s="340"/>
      <c r="K699" s="71"/>
      <c r="L699" s="46" t="s">
        <v>86</v>
      </c>
      <c r="M699" s="114"/>
    </row>
    <row r="700" spans="1:13" x14ac:dyDescent="0.3">
      <c r="A700" s="241"/>
      <c r="B700" s="284"/>
      <c r="C700" s="287"/>
      <c r="D700" s="287"/>
      <c r="E700" s="287"/>
      <c r="F700" s="16"/>
      <c r="G700" s="16"/>
      <c r="H700" s="16"/>
      <c r="I700" s="16">
        <f t="shared" si="151"/>
        <v>0</v>
      </c>
      <c r="J700" s="340"/>
      <c r="K700" s="71"/>
      <c r="L700" s="16"/>
      <c r="M700" s="114"/>
    </row>
    <row r="701" spans="1:13" x14ac:dyDescent="0.3">
      <c r="A701" s="241"/>
      <c r="B701" s="284"/>
      <c r="C701" s="287"/>
      <c r="D701" s="287"/>
      <c r="E701" s="287"/>
      <c r="F701" s="16"/>
      <c r="G701" s="16"/>
      <c r="H701" s="16"/>
      <c r="I701" s="16">
        <f t="shared" si="151"/>
        <v>0</v>
      </c>
      <c r="J701" s="340"/>
      <c r="K701" s="71"/>
      <c r="L701" s="27"/>
      <c r="M701" s="114"/>
    </row>
    <row r="702" spans="1:13" ht="15" thickBot="1" x14ac:dyDescent="0.35">
      <c r="A702" s="242"/>
      <c r="B702" s="285"/>
      <c r="C702" s="288"/>
      <c r="D702" s="288"/>
      <c r="E702" s="288"/>
      <c r="F702" s="350" t="s">
        <v>17</v>
      </c>
      <c r="G702" s="350"/>
      <c r="H702" s="56">
        <f>SUM(H697:H701)</f>
        <v>400</v>
      </c>
      <c r="I702" s="56">
        <f>SUM(I697:I701)</f>
        <v>400</v>
      </c>
      <c r="J702" s="56"/>
      <c r="K702" s="79">
        <f>J697-I702</f>
        <v>0</v>
      </c>
      <c r="L702" s="56"/>
      <c r="M702" s="114"/>
    </row>
    <row r="703" spans="1:13" ht="15.75" customHeight="1" thickTop="1" x14ac:dyDescent="0.3">
      <c r="A703" s="248">
        <v>117</v>
      </c>
      <c r="B703" s="328" t="s">
        <v>825</v>
      </c>
      <c r="C703" s="286" t="s">
        <v>102</v>
      </c>
      <c r="D703" s="286" t="s">
        <v>142</v>
      </c>
      <c r="E703" s="292" t="s">
        <v>616</v>
      </c>
      <c r="F703" s="16">
        <v>6967</v>
      </c>
      <c r="G703" s="27" t="s">
        <v>631</v>
      </c>
      <c r="H703" s="16">
        <v>200</v>
      </c>
      <c r="I703" s="16">
        <f t="shared" ref="I703:I707" si="152">SUM(H703:H703)</f>
        <v>200</v>
      </c>
      <c r="J703" s="340">
        <v>200</v>
      </c>
      <c r="K703" s="71"/>
      <c r="L703" s="16" t="s">
        <v>253</v>
      </c>
      <c r="M703" s="114"/>
    </row>
    <row r="704" spans="1:13" x14ac:dyDescent="0.3">
      <c r="A704" s="241"/>
      <c r="B704" s="287"/>
      <c r="C704" s="287"/>
      <c r="D704" s="287"/>
      <c r="E704" s="287"/>
      <c r="F704" s="16"/>
      <c r="G704" s="27"/>
      <c r="H704" s="16"/>
      <c r="I704" s="16">
        <f t="shared" si="152"/>
        <v>0</v>
      </c>
      <c r="J704" s="340"/>
      <c r="K704" s="71"/>
      <c r="L704" s="46" t="s">
        <v>85</v>
      </c>
      <c r="M704" s="114"/>
    </row>
    <row r="705" spans="1:13" x14ac:dyDescent="0.3">
      <c r="A705" s="241"/>
      <c r="B705" s="287"/>
      <c r="C705" s="287"/>
      <c r="D705" s="287"/>
      <c r="E705" s="287"/>
      <c r="F705" s="16"/>
      <c r="G705" s="18"/>
      <c r="H705" s="16"/>
      <c r="I705" s="16">
        <f t="shared" si="152"/>
        <v>0</v>
      </c>
      <c r="J705" s="340"/>
      <c r="K705" s="71"/>
      <c r="L705" s="46" t="s">
        <v>86</v>
      </c>
      <c r="M705" s="114"/>
    </row>
    <row r="706" spans="1:13" x14ac:dyDescent="0.3">
      <c r="A706" s="241"/>
      <c r="B706" s="287"/>
      <c r="C706" s="287"/>
      <c r="D706" s="287"/>
      <c r="E706" s="287"/>
      <c r="F706" s="16"/>
      <c r="G706" s="16"/>
      <c r="H706" s="16"/>
      <c r="I706" s="16">
        <f t="shared" si="152"/>
        <v>0</v>
      </c>
      <c r="J706" s="340"/>
      <c r="K706" s="71"/>
      <c r="L706" s="16"/>
      <c r="M706" s="114"/>
    </row>
    <row r="707" spans="1:13" x14ac:dyDescent="0.3">
      <c r="A707" s="241"/>
      <c r="B707" s="287"/>
      <c r="C707" s="287"/>
      <c r="D707" s="287"/>
      <c r="E707" s="287"/>
      <c r="F707" s="16"/>
      <c r="G707" s="16"/>
      <c r="H707" s="16"/>
      <c r="I707" s="16">
        <f t="shared" si="152"/>
        <v>0</v>
      </c>
      <c r="J707" s="340"/>
      <c r="K707" s="71"/>
      <c r="L707" s="27"/>
      <c r="M707" s="114"/>
    </row>
    <row r="708" spans="1:13" ht="15" thickBot="1" x14ac:dyDescent="0.35">
      <c r="A708" s="242"/>
      <c r="B708" s="288"/>
      <c r="C708" s="288"/>
      <c r="D708" s="288"/>
      <c r="E708" s="288"/>
      <c r="F708" s="350" t="s">
        <v>17</v>
      </c>
      <c r="G708" s="350"/>
      <c r="H708" s="56">
        <f>SUM(H703:H707)</f>
        <v>200</v>
      </c>
      <c r="I708" s="56">
        <f>SUM(I703:I707)</f>
        <v>200</v>
      </c>
      <c r="J708" s="56"/>
      <c r="K708" s="79">
        <f>J703-I708</f>
        <v>0</v>
      </c>
      <c r="L708" s="56"/>
      <c r="M708" s="114"/>
    </row>
    <row r="709" spans="1:13" ht="15.75" customHeight="1" thickTop="1" x14ac:dyDescent="0.35">
      <c r="A709" s="248">
        <v>117</v>
      </c>
      <c r="B709" s="328" t="s">
        <v>752</v>
      </c>
      <c r="C709" s="286" t="s">
        <v>109</v>
      </c>
      <c r="D709" s="286" t="s">
        <v>754</v>
      </c>
      <c r="E709" s="292" t="s">
        <v>753</v>
      </c>
      <c r="F709" s="16">
        <v>6969</v>
      </c>
      <c r="G709" s="27" t="s">
        <v>631</v>
      </c>
      <c r="H709" s="16">
        <v>3000</v>
      </c>
      <c r="I709" s="16">
        <f t="shared" ref="I709:I713" si="153">SUM(H709:H709)</f>
        <v>3000</v>
      </c>
      <c r="J709" s="340">
        <v>8000</v>
      </c>
      <c r="K709" s="71"/>
      <c r="L709" s="180" t="s">
        <v>376</v>
      </c>
      <c r="M709" s="114"/>
    </row>
    <row r="710" spans="1:13" x14ac:dyDescent="0.3">
      <c r="A710" s="241"/>
      <c r="B710" s="287"/>
      <c r="C710" s="287"/>
      <c r="D710" s="287"/>
      <c r="E710" s="287"/>
      <c r="F710" s="16"/>
      <c r="G710" s="27"/>
      <c r="H710" s="16"/>
      <c r="I710" s="16">
        <f t="shared" si="153"/>
        <v>0</v>
      </c>
      <c r="J710" s="340"/>
      <c r="K710" s="71"/>
      <c r="L710" s="46" t="s">
        <v>85</v>
      </c>
      <c r="M710" s="114"/>
    </row>
    <row r="711" spans="1:13" x14ac:dyDescent="0.3">
      <c r="A711" s="241"/>
      <c r="B711" s="287"/>
      <c r="C711" s="287"/>
      <c r="D711" s="287"/>
      <c r="E711" s="287"/>
      <c r="F711" s="16"/>
      <c r="G711" s="18"/>
      <c r="H711" s="16"/>
      <c r="I711" s="16">
        <f t="shared" si="153"/>
        <v>0</v>
      </c>
      <c r="J711" s="340"/>
      <c r="K711" s="71"/>
      <c r="L711" s="46" t="s">
        <v>86</v>
      </c>
      <c r="M711" s="114"/>
    </row>
    <row r="712" spans="1:13" x14ac:dyDescent="0.3">
      <c r="A712" s="241"/>
      <c r="B712" s="287"/>
      <c r="C712" s="287"/>
      <c r="D712" s="287"/>
      <c r="E712" s="287"/>
      <c r="F712" s="16"/>
      <c r="G712" s="16"/>
      <c r="H712" s="16"/>
      <c r="I712" s="16">
        <f t="shared" si="153"/>
        <v>0</v>
      </c>
      <c r="J712" s="340"/>
      <c r="K712" s="71"/>
      <c r="L712" s="16"/>
      <c r="M712" s="114"/>
    </row>
    <row r="713" spans="1:13" x14ac:dyDescent="0.3">
      <c r="A713" s="241"/>
      <c r="B713" s="287"/>
      <c r="C713" s="287"/>
      <c r="D713" s="287"/>
      <c r="E713" s="287"/>
      <c r="F713" s="16"/>
      <c r="G713" s="16"/>
      <c r="H713" s="16"/>
      <c r="I713" s="16">
        <f t="shared" si="153"/>
        <v>0</v>
      </c>
      <c r="J713" s="340"/>
      <c r="K713" s="71"/>
      <c r="L713" s="27"/>
      <c r="M713" s="114"/>
    </row>
    <row r="714" spans="1:13" ht="15" thickBot="1" x14ac:dyDescent="0.35">
      <c r="A714" s="242"/>
      <c r="B714" s="288"/>
      <c r="C714" s="288"/>
      <c r="D714" s="288"/>
      <c r="E714" s="288"/>
      <c r="F714" s="350" t="s">
        <v>17</v>
      </c>
      <c r="G714" s="350"/>
      <c r="H714" s="56">
        <f>SUM(H709:H713)</f>
        <v>3000</v>
      </c>
      <c r="I714" s="56">
        <f>SUM(I709:I713)</f>
        <v>3000</v>
      </c>
      <c r="J714" s="56"/>
      <c r="K714" s="79">
        <f>J709-I714</f>
        <v>5000</v>
      </c>
      <c r="L714" s="56"/>
      <c r="M714" s="114"/>
    </row>
    <row r="715" spans="1:13" ht="15.75" customHeight="1" thickTop="1" x14ac:dyDescent="0.35">
      <c r="A715" s="248">
        <v>117</v>
      </c>
      <c r="B715" s="283" t="s">
        <v>810</v>
      </c>
      <c r="C715" s="286" t="s">
        <v>636</v>
      </c>
      <c r="D715" s="286" t="s">
        <v>624</v>
      </c>
      <c r="E715" s="292" t="s">
        <v>811</v>
      </c>
      <c r="F715" s="16">
        <v>7005</v>
      </c>
      <c r="G715" s="27" t="s">
        <v>812</v>
      </c>
      <c r="H715" s="16">
        <v>4000</v>
      </c>
      <c r="I715" s="16">
        <f t="shared" ref="I715:I719" si="154">SUM(H715:H715)</f>
        <v>4000</v>
      </c>
      <c r="J715" s="340">
        <v>8000</v>
      </c>
      <c r="K715" s="71"/>
      <c r="L715" s="180" t="s">
        <v>376</v>
      </c>
      <c r="M715" s="114"/>
    </row>
    <row r="716" spans="1:13" ht="18" x14ac:dyDescent="0.35">
      <c r="A716" s="241"/>
      <c r="B716" s="284"/>
      <c r="C716" s="287"/>
      <c r="D716" s="287"/>
      <c r="E716" s="287"/>
      <c r="F716" s="16"/>
      <c r="G716" s="27"/>
      <c r="H716" s="16"/>
      <c r="I716" s="16">
        <f t="shared" si="154"/>
        <v>0</v>
      </c>
      <c r="J716" s="340"/>
      <c r="K716" s="71"/>
      <c r="L716" s="202" t="s">
        <v>85</v>
      </c>
      <c r="M716" s="114"/>
    </row>
    <row r="717" spans="1:13" ht="18" x14ac:dyDescent="0.35">
      <c r="A717" s="241"/>
      <c r="B717" s="284"/>
      <c r="C717" s="287"/>
      <c r="D717" s="287"/>
      <c r="E717" s="287"/>
      <c r="F717" s="16"/>
      <c r="G717" s="18"/>
      <c r="H717" s="16"/>
      <c r="I717" s="16">
        <f t="shared" si="154"/>
        <v>0</v>
      </c>
      <c r="J717" s="340"/>
      <c r="K717" s="71"/>
      <c r="L717" s="202" t="s">
        <v>86</v>
      </c>
      <c r="M717" s="114"/>
    </row>
    <row r="718" spans="1:13" x14ac:dyDescent="0.3">
      <c r="A718" s="241"/>
      <c r="B718" s="284"/>
      <c r="C718" s="287"/>
      <c r="D718" s="287"/>
      <c r="E718" s="287"/>
      <c r="F718" s="16"/>
      <c r="G718" s="16"/>
      <c r="H718" s="16"/>
      <c r="I718" s="16">
        <f t="shared" si="154"/>
        <v>0</v>
      </c>
      <c r="J718" s="340"/>
      <c r="K718" s="71"/>
      <c r="L718" s="16"/>
      <c r="M718" s="114"/>
    </row>
    <row r="719" spans="1:13" x14ac:dyDescent="0.3">
      <c r="A719" s="241"/>
      <c r="B719" s="284"/>
      <c r="C719" s="287"/>
      <c r="D719" s="287"/>
      <c r="E719" s="287"/>
      <c r="F719" s="16"/>
      <c r="G719" s="16"/>
      <c r="H719" s="16"/>
      <c r="I719" s="16">
        <f t="shared" si="154"/>
        <v>0</v>
      </c>
      <c r="J719" s="340"/>
      <c r="K719" s="71"/>
      <c r="L719" s="27"/>
      <c r="M719" s="114"/>
    </row>
    <row r="720" spans="1:13" ht="15" thickBot="1" x14ac:dyDescent="0.35">
      <c r="A720" s="242"/>
      <c r="B720" s="285"/>
      <c r="C720" s="288"/>
      <c r="D720" s="288"/>
      <c r="E720" s="288"/>
      <c r="F720" s="350" t="s">
        <v>17</v>
      </c>
      <c r="G720" s="350"/>
      <c r="H720" s="56">
        <f>SUM(H715:H719)</f>
        <v>4000</v>
      </c>
      <c r="I720" s="56">
        <f>SUM(I715:I719)</f>
        <v>4000</v>
      </c>
      <c r="J720" s="56"/>
      <c r="K720" s="79">
        <f>J715-I720</f>
        <v>4000</v>
      </c>
      <c r="L720" s="56"/>
      <c r="M720" s="114"/>
    </row>
    <row r="721" spans="1:13" ht="15" thickTop="1" x14ac:dyDescent="0.3">
      <c r="A721" s="248">
        <v>117</v>
      </c>
      <c r="B721" s="328" t="s">
        <v>399</v>
      </c>
      <c r="C721" s="286" t="s">
        <v>400</v>
      </c>
      <c r="D721" s="286" t="s">
        <v>826</v>
      </c>
      <c r="E721" s="292" t="s">
        <v>827</v>
      </c>
      <c r="F721" s="16">
        <v>7006</v>
      </c>
      <c r="G721" s="27" t="s">
        <v>812</v>
      </c>
      <c r="H721" s="16">
        <v>600</v>
      </c>
      <c r="I721" s="16">
        <f t="shared" ref="I721:I725" si="155">SUM(H721:H721)</f>
        <v>600</v>
      </c>
      <c r="J721" s="340">
        <v>600</v>
      </c>
      <c r="K721" s="71"/>
      <c r="L721" s="16" t="s">
        <v>107</v>
      </c>
      <c r="M721" s="114"/>
    </row>
    <row r="722" spans="1:13" x14ac:dyDescent="0.3">
      <c r="A722" s="241"/>
      <c r="B722" s="287"/>
      <c r="C722" s="287"/>
      <c r="D722" s="287"/>
      <c r="E722" s="287"/>
      <c r="F722" s="16"/>
      <c r="G722" s="27"/>
      <c r="H722" s="16"/>
      <c r="I722" s="16">
        <f t="shared" si="155"/>
        <v>0</v>
      </c>
      <c r="J722" s="340"/>
      <c r="K722" s="71"/>
      <c r="L722" s="46" t="s">
        <v>85</v>
      </c>
      <c r="M722" s="114"/>
    </row>
    <row r="723" spans="1:13" x14ac:dyDescent="0.3">
      <c r="A723" s="241"/>
      <c r="B723" s="287"/>
      <c r="C723" s="287"/>
      <c r="D723" s="287"/>
      <c r="E723" s="287"/>
      <c r="F723" s="16"/>
      <c r="G723" s="18"/>
      <c r="H723" s="16"/>
      <c r="I723" s="16">
        <f t="shared" si="155"/>
        <v>0</v>
      </c>
      <c r="J723" s="340"/>
      <c r="K723" s="71"/>
      <c r="L723" s="46" t="s">
        <v>86</v>
      </c>
      <c r="M723" s="114"/>
    </row>
    <row r="724" spans="1:13" x14ac:dyDescent="0.3">
      <c r="A724" s="241"/>
      <c r="B724" s="287"/>
      <c r="C724" s="287"/>
      <c r="D724" s="287"/>
      <c r="E724" s="287"/>
      <c r="F724" s="16"/>
      <c r="G724" s="16"/>
      <c r="H724" s="16"/>
      <c r="I724" s="16">
        <f t="shared" si="155"/>
        <v>0</v>
      </c>
      <c r="J724" s="340"/>
      <c r="K724" s="71"/>
      <c r="L724" s="16"/>
      <c r="M724" s="114"/>
    </row>
    <row r="725" spans="1:13" x14ac:dyDescent="0.3">
      <c r="A725" s="241"/>
      <c r="B725" s="287"/>
      <c r="C725" s="287"/>
      <c r="D725" s="287"/>
      <c r="E725" s="287"/>
      <c r="F725" s="16"/>
      <c r="G725" s="16"/>
      <c r="H725" s="16"/>
      <c r="I725" s="16">
        <f t="shared" si="155"/>
        <v>0</v>
      </c>
      <c r="J725" s="340"/>
      <c r="K725" s="71"/>
      <c r="L725" s="27"/>
      <c r="M725" s="114"/>
    </row>
    <row r="726" spans="1:13" ht="15" thickBot="1" x14ac:dyDescent="0.35">
      <c r="A726" s="242"/>
      <c r="B726" s="288"/>
      <c r="C726" s="288"/>
      <c r="D726" s="288"/>
      <c r="E726" s="288"/>
      <c r="F726" s="350" t="s">
        <v>17</v>
      </c>
      <c r="G726" s="350"/>
      <c r="H726" s="56">
        <f>SUM(H721:H725)</f>
        <v>600</v>
      </c>
      <c r="I726" s="56">
        <f>SUM(I721:I725)</f>
        <v>600</v>
      </c>
      <c r="J726" s="56"/>
      <c r="K726" s="79">
        <f>J721-I726</f>
        <v>0</v>
      </c>
      <c r="L726" s="56"/>
      <c r="M726" s="114"/>
    </row>
    <row r="727" spans="1:13" ht="15.75" customHeight="1" thickTop="1" x14ac:dyDescent="0.35">
      <c r="A727" s="248">
        <v>118</v>
      </c>
      <c r="B727" s="283" t="s">
        <v>845</v>
      </c>
      <c r="C727" s="256" t="s">
        <v>846</v>
      </c>
      <c r="D727" s="257" t="s">
        <v>540</v>
      </c>
      <c r="E727" s="297" t="s">
        <v>847</v>
      </c>
      <c r="F727" s="16">
        <v>7021</v>
      </c>
      <c r="G727" s="27" t="s">
        <v>848</v>
      </c>
      <c r="H727" s="16">
        <v>8700</v>
      </c>
      <c r="I727" s="16">
        <f t="shared" ref="I727:I731" si="156">SUM(H727:H727)</f>
        <v>8700</v>
      </c>
      <c r="J727" s="340">
        <v>8700</v>
      </c>
      <c r="K727" s="71"/>
      <c r="L727" s="180" t="s">
        <v>376</v>
      </c>
      <c r="M727" s="114"/>
    </row>
    <row r="728" spans="1:13" ht="18" x14ac:dyDescent="0.35">
      <c r="A728" s="241"/>
      <c r="B728" s="284"/>
      <c r="C728" s="257"/>
      <c r="D728" s="257"/>
      <c r="E728" s="287"/>
      <c r="F728" s="16"/>
      <c r="G728" s="27"/>
      <c r="H728" s="16"/>
      <c r="I728" s="16">
        <f t="shared" si="156"/>
        <v>0</v>
      </c>
      <c r="J728" s="340"/>
      <c r="K728" s="71"/>
      <c r="L728" s="202" t="s">
        <v>85</v>
      </c>
      <c r="M728" s="114"/>
    </row>
    <row r="729" spans="1:13" ht="18" x14ac:dyDescent="0.35">
      <c r="A729" s="241"/>
      <c r="B729" s="284"/>
      <c r="C729" s="257"/>
      <c r="D729" s="257"/>
      <c r="E729" s="287"/>
      <c r="F729" s="16"/>
      <c r="G729" s="18"/>
      <c r="H729" s="16"/>
      <c r="I729" s="16">
        <f t="shared" si="156"/>
        <v>0</v>
      </c>
      <c r="J729" s="340"/>
      <c r="K729" s="71"/>
      <c r="L729" s="202" t="s">
        <v>86</v>
      </c>
      <c r="M729" s="114"/>
    </row>
    <row r="730" spans="1:13" x14ac:dyDescent="0.3">
      <c r="A730" s="241"/>
      <c r="B730" s="284"/>
      <c r="C730" s="257"/>
      <c r="D730" s="257"/>
      <c r="E730" s="287"/>
      <c r="F730" s="16"/>
      <c r="G730" s="16"/>
      <c r="H730" s="16"/>
      <c r="I730" s="16">
        <f t="shared" si="156"/>
        <v>0</v>
      </c>
      <c r="J730" s="340"/>
      <c r="K730" s="71"/>
      <c r="L730" s="16"/>
      <c r="M730" s="114"/>
    </row>
    <row r="731" spans="1:13" x14ac:dyDescent="0.3">
      <c r="A731" s="241"/>
      <c r="B731" s="284"/>
      <c r="C731" s="257"/>
      <c r="D731" s="257"/>
      <c r="E731" s="287"/>
      <c r="F731" s="16"/>
      <c r="G731" s="16"/>
      <c r="H731" s="16"/>
      <c r="I731" s="16">
        <f t="shared" si="156"/>
        <v>0</v>
      </c>
      <c r="J731" s="340"/>
      <c r="K731" s="71"/>
      <c r="L731" s="27"/>
      <c r="M731" s="114"/>
    </row>
    <row r="732" spans="1:13" ht="15" thickBot="1" x14ac:dyDescent="0.35">
      <c r="A732" s="242"/>
      <c r="B732" s="285"/>
      <c r="C732" s="258"/>
      <c r="D732" s="258"/>
      <c r="E732" s="288"/>
      <c r="F732" s="350" t="s">
        <v>17</v>
      </c>
      <c r="G732" s="350"/>
      <c r="H732" s="56">
        <f>SUM(H727:H731)</f>
        <v>8700</v>
      </c>
      <c r="I732" s="56">
        <f>SUM(I727:I731)</f>
        <v>8700</v>
      </c>
      <c r="J732" s="56"/>
      <c r="K732" s="79">
        <f>J727-I732</f>
        <v>0</v>
      </c>
      <c r="L732" s="56"/>
      <c r="M732" s="114"/>
    </row>
    <row r="733" spans="1:13" ht="15.75" customHeight="1" thickTop="1" x14ac:dyDescent="0.35">
      <c r="A733" s="248">
        <v>119</v>
      </c>
      <c r="B733" s="360" t="s">
        <v>919</v>
      </c>
      <c r="C733" s="351" t="s">
        <v>777</v>
      </c>
      <c r="D733" s="339" t="s">
        <v>36</v>
      </c>
      <c r="E733" s="292" t="s">
        <v>920</v>
      </c>
      <c r="F733" s="16">
        <v>7084</v>
      </c>
      <c r="G733" s="27" t="s">
        <v>918</v>
      </c>
      <c r="H733" s="16">
        <v>8000</v>
      </c>
      <c r="I733" s="16">
        <f t="shared" ref="I733:I737" si="157">SUM(H733:H733)</f>
        <v>8000</v>
      </c>
      <c r="J733" s="340">
        <v>10500</v>
      </c>
      <c r="K733" s="71"/>
      <c r="L733" s="180" t="s">
        <v>376</v>
      </c>
      <c r="M733" s="114"/>
    </row>
    <row r="734" spans="1:13" ht="18" x14ac:dyDescent="0.35">
      <c r="A734" s="241"/>
      <c r="B734" s="360"/>
      <c r="C734" s="351"/>
      <c r="D734" s="339"/>
      <c r="E734" s="287"/>
      <c r="F734" s="16"/>
      <c r="G734" s="27"/>
      <c r="H734" s="16"/>
      <c r="I734" s="16">
        <f t="shared" si="157"/>
        <v>0</v>
      </c>
      <c r="J734" s="340"/>
      <c r="K734" s="71"/>
      <c r="L734" s="202" t="s">
        <v>85</v>
      </c>
      <c r="M734" s="114"/>
    </row>
    <row r="735" spans="1:13" ht="18" x14ac:dyDescent="0.35">
      <c r="A735" s="241"/>
      <c r="B735" s="360"/>
      <c r="C735" s="351"/>
      <c r="D735" s="339"/>
      <c r="E735" s="287"/>
      <c r="F735" s="16"/>
      <c r="G735" s="18"/>
      <c r="H735" s="16"/>
      <c r="I735" s="16">
        <f t="shared" si="157"/>
        <v>0</v>
      </c>
      <c r="J735" s="340"/>
      <c r="K735" s="71"/>
      <c r="L735" s="202" t="s">
        <v>86</v>
      </c>
      <c r="M735" s="114"/>
    </row>
    <row r="736" spans="1:13" x14ac:dyDescent="0.3">
      <c r="A736" s="241"/>
      <c r="B736" s="360"/>
      <c r="C736" s="351"/>
      <c r="D736" s="339"/>
      <c r="E736" s="287"/>
      <c r="F736" s="16"/>
      <c r="G736" s="16"/>
      <c r="H736" s="16"/>
      <c r="I736" s="16">
        <f t="shared" si="157"/>
        <v>0</v>
      </c>
      <c r="J736" s="340"/>
      <c r="K736" s="71"/>
      <c r="L736" s="16"/>
      <c r="M736" s="114"/>
    </row>
    <row r="737" spans="1:13" x14ac:dyDescent="0.3">
      <c r="A737" s="241"/>
      <c r="B737" s="360"/>
      <c r="C737" s="351"/>
      <c r="D737" s="339"/>
      <c r="E737" s="287"/>
      <c r="F737" s="16"/>
      <c r="G737" s="16"/>
      <c r="H737" s="16"/>
      <c r="I737" s="16">
        <f t="shared" si="157"/>
        <v>0</v>
      </c>
      <c r="J737" s="340"/>
      <c r="K737" s="71"/>
      <c r="L737" s="27"/>
      <c r="M737" s="114"/>
    </row>
    <row r="738" spans="1:13" ht="15" thickBot="1" x14ac:dyDescent="0.35">
      <c r="A738" s="242"/>
      <c r="B738" s="360"/>
      <c r="C738" s="351"/>
      <c r="D738" s="339"/>
      <c r="E738" s="288"/>
      <c r="F738" s="350" t="s">
        <v>17</v>
      </c>
      <c r="G738" s="350"/>
      <c r="H738" s="56">
        <f>SUM(H733:H737)</f>
        <v>8000</v>
      </c>
      <c r="I738" s="56">
        <f>SUM(I733:I737)</f>
        <v>8000</v>
      </c>
      <c r="J738" s="56"/>
      <c r="K738" s="79">
        <f>J733-I738</f>
        <v>2500</v>
      </c>
      <c r="L738" s="56"/>
      <c r="M738" s="114"/>
    </row>
    <row r="739" spans="1:13" ht="15" thickTop="1" x14ac:dyDescent="0.3">
      <c r="A739" s="64"/>
      <c r="B739" s="65"/>
      <c r="C739" s="65"/>
      <c r="D739" s="65"/>
      <c r="E739" s="65"/>
      <c r="F739" s="132"/>
      <c r="G739" s="126"/>
      <c r="H739" s="56"/>
      <c r="I739" s="56"/>
      <c r="J739" s="56"/>
      <c r="K739" s="79"/>
      <c r="L739" s="56"/>
      <c r="M739" s="114"/>
    </row>
    <row r="740" spans="1:13" x14ac:dyDescent="0.3">
      <c r="A740" s="438" t="s">
        <v>17</v>
      </c>
      <c r="B740" s="439"/>
      <c r="C740" s="439"/>
      <c r="D740" s="439"/>
      <c r="E740" s="439"/>
      <c r="F740" s="439"/>
      <c r="G740" s="440"/>
      <c r="H740" s="147">
        <f>+H390+H384+H378+H372++H360+H354+H348+H342+H336+H330+H324+H318+H312+H306+H300+H294+H288+H282+H276+H270+H264+H258+H252+H246+H240+H234+H228+H222+H216+H210+H204+H198+H192+H186+H180+H168+H162+H156+H150++H144+H138+H132+H126+H120+H114+H108+H102+H96+H90+H84+H78+H72+H66+H60+H54+H36+H30+H24+H18+H12+H396+H402+H408+H414+H420+H426+H432+H438+H444+H450+H456+H462+H468+H474+H480+H486+H492+H498+H504+H510+H516+H522+H528+H534+H540+H546+H558+H564+H570+H576+H582+H588+H594+H600+H606+H612+H618+H624+H630+H636+H642+H648+H654+H660+H666+H672+H678+H684+H690+H696+H702+H708+H552+H714+H720+H726+H732+H738+H366+H174+H48+H42</f>
        <v>118450</v>
      </c>
      <c r="I740" s="147">
        <f>+I390+I384+I378+I372++I360+I354+I348+I342+I336+I330+I324+I318+I312+I306+I300+I294+I288+I282+I276+I270+I264+I258+I252+I246+I240+I234+I228+I222+I216+I210+I204+I198+I192+I186+I180+I168+I162+I156+I150++I144+I138+I132+I126+I120+I114+I108+I102+I96+I90+I84+I78+I72+I66+I60+I54+I36+I30+I24+I18+I12+I396+I402+I408+I414+I420+I426+I432+I438+I444+I450+I456+I462+I468+I474+I480+I486+I492+I498+I504+I510+I516+I522+I528+I534+I540+I546+I558+I564+I570+I576+I582+I588+I594+I600+I606+I612+I618+I624+I630+I636+I642+I648+I654+I660+I666+I672+I678+I684+I690+I696+I702+I708+I552+I714+I720+I726+I732+I738+I366+I174+I48+I42</f>
        <v>118450</v>
      </c>
      <c r="J740" s="148">
        <f>+J385+J379+J373+J367+J355+J349+J343+J337+J331+J325+J319+J313+J307+J301+J295+J289+J283+J277+J271+J265+J259+J253+J247+J241+J235+J229+J223+J217+J211+J205+J199+J193+J187+J181+J175+J163+J157+J151+J145+J139+J133+J127+J121+J115+J109+J103+J97+J91+J85+J79+J73+J67+J61+J55+J49+J31+J25+J19+J13+J7+J391+J397+J403+J409+J415+J421+J427+J433+J439+J445+J451+J457+J463+J469+J475+J481+J487+J493+J499+J505+J511+J517+J523+J529+J535+J541+J553+J559+J565+J571+J577+J583+J589+J595+J601+J607+J613+J619+J625+J631+J637+J643+J649+J655+J661+J667+J673+J679+J685+J691+J697++J703+J547+J709+J715+J721+J727+J733</f>
        <v>121750</v>
      </c>
      <c r="K740" s="147">
        <f>+K390+K384+K378+K372++K360+K354+K348+K342+K336+K330+K324+K318+K312+K306+K300+K294+K288+K282+K276+K270+K264+K258+K252+K246+K240+K234+K228+K222+K216+K210+K204+K198+K192+K186+K180+K168+K162+K156+K150++K144+K138+K132+K126+K120+K114+K108+K102+K96+K90+K84+K78+K72+K66+K60+K54+K36+K30+K24+K18+K12+K396+K402+K408+K414+K420+K426+K432+K438+K444+K450+K456+K462+K468+K474+K480+K486+K492+K498+K504+K510+K516+K522+K528+K534+K540+K546+K558+K564+K570+K576+K582+K588+K594+K600+K606+K612+K618+K624+K630+K636+K642+K648+K654+K660+K666+K672+K678+K684+K690+K696+K702+K708+K552+K714+K720+K726+K732+K738</f>
        <v>11500</v>
      </c>
      <c r="L740" s="148"/>
      <c r="M740" s="147"/>
    </row>
    <row r="742" spans="1:13" x14ac:dyDescent="0.3">
      <c r="K742" s="84">
        <f>+J740-K740</f>
        <v>110250</v>
      </c>
    </row>
  </sheetData>
  <mergeCells count="859">
    <mergeCell ref="A727:A732"/>
    <mergeCell ref="B727:B732"/>
    <mergeCell ref="C727:C732"/>
    <mergeCell ref="D727:D732"/>
    <mergeCell ref="E727:E732"/>
    <mergeCell ref="J727:J731"/>
    <mergeCell ref="F732:G732"/>
    <mergeCell ref="A733:A738"/>
    <mergeCell ref="B733:B738"/>
    <mergeCell ref="C733:C738"/>
    <mergeCell ref="D733:D738"/>
    <mergeCell ref="E733:E738"/>
    <mergeCell ref="J733:J737"/>
    <mergeCell ref="F738:G738"/>
    <mergeCell ref="A169:A174"/>
    <mergeCell ref="B169:B174"/>
    <mergeCell ref="C169:C174"/>
    <mergeCell ref="D169:D174"/>
    <mergeCell ref="E169:E174"/>
    <mergeCell ref="J169:J173"/>
    <mergeCell ref="F174:G174"/>
    <mergeCell ref="A37:A42"/>
    <mergeCell ref="B37:B42"/>
    <mergeCell ref="C37:C42"/>
    <mergeCell ref="D37:D42"/>
    <mergeCell ref="E37:E42"/>
    <mergeCell ref="J37:J41"/>
    <mergeCell ref="F42:G42"/>
    <mergeCell ref="A43:A48"/>
    <mergeCell ref="B43:B48"/>
    <mergeCell ref="C43:C48"/>
    <mergeCell ref="D43:D48"/>
    <mergeCell ref="E43:E48"/>
    <mergeCell ref="J43:J47"/>
    <mergeCell ref="F48:G48"/>
    <mergeCell ref="J157:J161"/>
    <mergeCell ref="F162:G162"/>
    <mergeCell ref="A163:A168"/>
    <mergeCell ref="D391:D396"/>
    <mergeCell ref="E391:E396"/>
    <mergeCell ref="J391:J395"/>
    <mergeCell ref="F396:G396"/>
    <mergeCell ref="A740:G740"/>
    <mergeCell ref="J373:J377"/>
    <mergeCell ref="F378:G378"/>
    <mergeCell ref="A379:A384"/>
    <mergeCell ref="B379:B384"/>
    <mergeCell ref="C379:C384"/>
    <mergeCell ref="D379:D384"/>
    <mergeCell ref="E379:E384"/>
    <mergeCell ref="J379:J383"/>
    <mergeCell ref="F384:G384"/>
    <mergeCell ref="A373:A378"/>
    <mergeCell ref="B373:B378"/>
    <mergeCell ref="C373:C378"/>
    <mergeCell ref="D373:D378"/>
    <mergeCell ref="E373:E378"/>
    <mergeCell ref="A385:A390"/>
    <mergeCell ref="B385:B390"/>
    <mergeCell ref="C385:C390"/>
    <mergeCell ref="D385:D390"/>
    <mergeCell ref="E385:E390"/>
    <mergeCell ref="J385:J389"/>
    <mergeCell ref="A391:A396"/>
    <mergeCell ref="B391:B396"/>
    <mergeCell ref="C391:C396"/>
    <mergeCell ref="F390:G390"/>
    <mergeCell ref="J355:J359"/>
    <mergeCell ref="F360:G360"/>
    <mergeCell ref="A367:A372"/>
    <mergeCell ref="B367:B372"/>
    <mergeCell ref="C367:C372"/>
    <mergeCell ref="D367:D372"/>
    <mergeCell ref="E367:E372"/>
    <mergeCell ref="J367:J371"/>
    <mergeCell ref="F372:G372"/>
    <mergeCell ref="A355:A360"/>
    <mergeCell ref="B355:B360"/>
    <mergeCell ref="C355:C360"/>
    <mergeCell ref="D355:D360"/>
    <mergeCell ref="E355:E360"/>
    <mergeCell ref="B361:B366"/>
    <mergeCell ref="C361:C366"/>
    <mergeCell ref="D361:D366"/>
    <mergeCell ref="E361:E366"/>
    <mergeCell ref="J361:J365"/>
    <mergeCell ref="F366:G366"/>
    <mergeCell ref="A361:A366"/>
    <mergeCell ref="J343:J347"/>
    <mergeCell ref="F348:G348"/>
    <mergeCell ref="A349:A354"/>
    <mergeCell ref="B349:B354"/>
    <mergeCell ref="C349:C354"/>
    <mergeCell ref="D349:D354"/>
    <mergeCell ref="E349:E354"/>
    <mergeCell ref="J349:J353"/>
    <mergeCell ref="F354:G354"/>
    <mergeCell ref="A343:A348"/>
    <mergeCell ref="B343:B348"/>
    <mergeCell ref="C343:C348"/>
    <mergeCell ref="D343:D348"/>
    <mergeCell ref="E343:E348"/>
    <mergeCell ref="J331:J335"/>
    <mergeCell ref="F336:G336"/>
    <mergeCell ref="A337:A342"/>
    <mergeCell ref="B337:B342"/>
    <mergeCell ref="C337:C342"/>
    <mergeCell ref="D337:D342"/>
    <mergeCell ref="E337:E342"/>
    <mergeCell ref="J337:J341"/>
    <mergeCell ref="F342:G342"/>
    <mergeCell ref="A331:A336"/>
    <mergeCell ref="B331:B336"/>
    <mergeCell ref="C331:C336"/>
    <mergeCell ref="D331:D336"/>
    <mergeCell ref="E331:E336"/>
    <mergeCell ref="J319:J323"/>
    <mergeCell ref="F324:G324"/>
    <mergeCell ref="A325:A330"/>
    <mergeCell ref="B325:B330"/>
    <mergeCell ref="C325:C330"/>
    <mergeCell ref="D325:D330"/>
    <mergeCell ref="E325:E330"/>
    <mergeCell ref="J325:J329"/>
    <mergeCell ref="F330:G330"/>
    <mergeCell ref="A319:A324"/>
    <mergeCell ref="B319:B324"/>
    <mergeCell ref="C319:C324"/>
    <mergeCell ref="D319:D324"/>
    <mergeCell ref="E319:E324"/>
    <mergeCell ref="J307:J311"/>
    <mergeCell ref="F312:G312"/>
    <mergeCell ref="A313:A318"/>
    <mergeCell ref="B313:B318"/>
    <mergeCell ref="C313:C318"/>
    <mergeCell ref="D313:D318"/>
    <mergeCell ref="E313:E318"/>
    <mergeCell ref="J313:J317"/>
    <mergeCell ref="F318:G318"/>
    <mergeCell ref="A307:A312"/>
    <mergeCell ref="B307:B312"/>
    <mergeCell ref="C307:C312"/>
    <mergeCell ref="D307:D312"/>
    <mergeCell ref="E307:E312"/>
    <mergeCell ref="J295:J299"/>
    <mergeCell ref="F300:G300"/>
    <mergeCell ref="A301:A306"/>
    <mergeCell ref="B301:B306"/>
    <mergeCell ref="C301:C306"/>
    <mergeCell ref="D301:D306"/>
    <mergeCell ref="E301:E306"/>
    <mergeCell ref="J301:J305"/>
    <mergeCell ref="F306:G306"/>
    <mergeCell ref="A295:A300"/>
    <mergeCell ref="B295:B300"/>
    <mergeCell ref="C295:C300"/>
    <mergeCell ref="D295:D300"/>
    <mergeCell ref="E295:E300"/>
    <mergeCell ref="J283:J287"/>
    <mergeCell ref="F288:G288"/>
    <mergeCell ref="A289:A294"/>
    <mergeCell ref="B289:B294"/>
    <mergeCell ref="C289:C294"/>
    <mergeCell ref="D289:D294"/>
    <mergeCell ref="E289:E294"/>
    <mergeCell ref="J289:J293"/>
    <mergeCell ref="F294:G294"/>
    <mergeCell ref="A283:A288"/>
    <mergeCell ref="B283:B288"/>
    <mergeCell ref="C283:C288"/>
    <mergeCell ref="D283:D288"/>
    <mergeCell ref="E283:E288"/>
    <mergeCell ref="J271:J275"/>
    <mergeCell ref="F276:G276"/>
    <mergeCell ref="A277:A282"/>
    <mergeCell ref="B277:B282"/>
    <mergeCell ref="C277:C282"/>
    <mergeCell ref="D277:D282"/>
    <mergeCell ref="E277:E282"/>
    <mergeCell ref="J277:J281"/>
    <mergeCell ref="F282:G282"/>
    <mergeCell ref="A271:A276"/>
    <mergeCell ref="B271:B276"/>
    <mergeCell ref="C271:C276"/>
    <mergeCell ref="D271:D276"/>
    <mergeCell ref="E271:E276"/>
    <mergeCell ref="J259:J263"/>
    <mergeCell ref="F264:G264"/>
    <mergeCell ref="A265:A270"/>
    <mergeCell ref="B265:B270"/>
    <mergeCell ref="C265:C270"/>
    <mergeCell ref="D265:D270"/>
    <mergeCell ref="E265:E270"/>
    <mergeCell ref="J265:J269"/>
    <mergeCell ref="F270:G270"/>
    <mergeCell ref="A259:A264"/>
    <mergeCell ref="B259:B264"/>
    <mergeCell ref="C259:C264"/>
    <mergeCell ref="D259:D264"/>
    <mergeCell ref="E259:E264"/>
    <mergeCell ref="J247:J251"/>
    <mergeCell ref="F252:G252"/>
    <mergeCell ref="A253:A258"/>
    <mergeCell ref="B253:B258"/>
    <mergeCell ref="C253:C258"/>
    <mergeCell ref="D253:D258"/>
    <mergeCell ref="E253:E258"/>
    <mergeCell ref="J253:J257"/>
    <mergeCell ref="F258:G258"/>
    <mergeCell ref="A247:A252"/>
    <mergeCell ref="B247:B252"/>
    <mergeCell ref="C247:C252"/>
    <mergeCell ref="D247:D252"/>
    <mergeCell ref="E247:E252"/>
    <mergeCell ref="J235:J239"/>
    <mergeCell ref="F240:G240"/>
    <mergeCell ref="A241:A246"/>
    <mergeCell ref="B241:B246"/>
    <mergeCell ref="C241:C246"/>
    <mergeCell ref="D241:D246"/>
    <mergeCell ref="E241:E246"/>
    <mergeCell ref="J241:J245"/>
    <mergeCell ref="F246:G246"/>
    <mergeCell ref="A235:A240"/>
    <mergeCell ref="B235:B240"/>
    <mergeCell ref="C235:C240"/>
    <mergeCell ref="D235:D240"/>
    <mergeCell ref="E235:E240"/>
    <mergeCell ref="J223:J227"/>
    <mergeCell ref="F228:G228"/>
    <mergeCell ref="A229:A234"/>
    <mergeCell ref="B229:B234"/>
    <mergeCell ref="C229:C234"/>
    <mergeCell ref="D229:D234"/>
    <mergeCell ref="E229:E234"/>
    <mergeCell ref="J229:J233"/>
    <mergeCell ref="F234:G234"/>
    <mergeCell ref="A223:A228"/>
    <mergeCell ref="B223:B228"/>
    <mergeCell ref="C223:C228"/>
    <mergeCell ref="D223:D228"/>
    <mergeCell ref="E223:E228"/>
    <mergeCell ref="J211:J215"/>
    <mergeCell ref="F216:G216"/>
    <mergeCell ref="A217:A222"/>
    <mergeCell ref="B217:B222"/>
    <mergeCell ref="C217:C222"/>
    <mergeCell ref="D217:D222"/>
    <mergeCell ref="E217:E222"/>
    <mergeCell ref="J217:J221"/>
    <mergeCell ref="F222:G222"/>
    <mergeCell ref="A211:A216"/>
    <mergeCell ref="B211:B216"/>
    <mergeCell ref="C211:C216"/>
    <mergeCell ref="D211:D216"/>
    <mergeCell ref="E211:E216"/>
    <mergeCell ref="J199:J203"/>
    <mergeCell ref="F204:G204"/>
    <mergeCell ref="A205:A210"/>
    <mergeCell ref="B205:B210"/>
    <mergeCell ref="C205:C210"/>
    <mergeCell ref="D205:D210"/>
    <mergeCell ref="E205:E210"/>
    <mergeCell ref="J205:J209"/>
    <mergeCell ref="F210:G210"/>
    <mergeCell ref="A199:A204"/>
    <mergeCell ref="B199:B204"/>
    <mergeCell ref="C199:C204"/>
    <mergeCell ref="D199:D204"/>
    <mergeCell ref="E199:E204"/>
    <mergeCell ref="J187:J191"/>
    <mergeCell ref="F192:G192"/>
    <mergeCell ref="A193:A198"/>
    <mergeCell ref="B193:B198"/>
    <mergeCell ref="C193:C198"/>
    <mergeCell ref="D193:D198"/>
    <mergeCell ref="E193:E198"/>
    <mergeCell ref="J193:J197"/>
    <mergeCell ref="F198:G198"/>
    <mergeCell ref="A187:A192"/>
    <mergeCell ref="B187:B192"/>
    <mergeCell ref="C187:C192"/>
    <mergeCell ref="D187:D192"/>
    <mergeCell ref="E187:E192"/>
    <mergeCell ref="J175:J179"/>
    <mergeCell ref="F180:G180"/>
    <mergeCell ref="A181:A186"/>
    <mergeCell ref="B181:B186"/>
    <mergeCell ref="C181:C186"/>
    <mergeCell ref="D181:D186"/>
    <mergeCell ref="E181:E186"/>
    <mergeCell ref="J181:J185"/>
    <mergeCell ref="F186:G186"/>
    <mergeCell ref="A175:A180"/>
    <mergeCell ref="B175:B180"/>
    <mergeCell ref="C175:C180"/>
    <mergeCell ref="D175:D180"/>
    <mergeCell ref="E175:E180"/>
    <mergeCell ref="B163:B168"/>
    <mergeCell ref="C163:C168"/>
    <mergeCell ref="D163:D168"/>
    <mergeCell ref="E163:E168"/>
    <mergeCell ref="J163:J167"/>
    <mergeCell ref="F168:G168"/>
    <mergeCell ref="A157:A162"/>
    <mergeCell ref="B157:B162"/>
    <mergeCell ref="C157:C162"/>
    <mergeCell ref="D157:D162"/>
    <mergeCell ref="E157:E162"/>
    <mergeCell ref="J145:J149"/>
    <mergeCell ref="F150:G150"/>
    <mergeCell ref="A151:A156"/>
    <mergeCell ref="B151:B156"/>
    <mergeCell ref="C151:C156"/>
    <mergeCell ref="D151:D156"/>
    <mergeCell ref="E151:E156"/>
    <mergeCell ref="J151:J155"/>
    <mergeCell ref="F156:G156"/>
    <mergeCell ref="A145:A150"/>
    <mergeCell ref="B145:B150"/>
    <mergeCell ref="C145:C150"/>
    <mergeCell ref="D145:D150"/>
    <mergeCell ref="E145:E150"/>
    <mergeCell ref="J133:J137"/>
    <mergeCell ref="F138:G138"/>
    <mergeCell ref="A139:A144"/>
    <mergeCell ref="B139:B144"/>
    <mergeCell ref="C139:C144"/>
    <mergeCell ref="D139:D144"/>
    <mergeCell ref="E139:E144"/>
    <mergeCell ref="J139:J143"/>
    <mergeCell ref="F144:G144"/>
    <mergeCell ref="A133:A138"/>
    <mergeCell ref="B133:B138"/>
    <mergeCell ref="C133:C138"/>
    <mergeCell ref="D133:D138"/>
    <mergeCell ref="E133:E138"/>
    <mergeCell ref="J121:J125"/>
    <mergeCell ref="F126:G126"/>
    <mergeCell ref="A127:A132"/>
    <mergeCell ref="B127:B132"/>
    <mergeCell ref="C127:C132"/>
    <mergeCell ref="D127:D132"/>
    <mergeCell ref="E127:E132"/>
    <mergeCell ref="J127:J131"/>
    <mergeCell ref="F132:G132"/>
    <mergeCell ref="A121:A126"/>
    <mergeCell ref="B121:B126"/>
    <mergeCell ref="C121:C126"/>
    <mergeCell ref="D121:D126"/>
    <mergeCell ref="E121:E126"/>
    <mergeCell ref="J109:J113"/>
    <mergeCell ref="F114:G114"/>
    <mergeCell ref="A115:A120"/>
    <mergeCell ref="B115:B120"/>
    <mergeCell ref="C115:C120"/>
    <mergeCell ref="D115:D120"/>
    <mergeCell ref="E115:E120"/>
    <mergeCell ref="J115:J119"/>
    <mergeCell ref="F120:G120"/>
    <mergeCell ref="A109:A114"/>
    <mergeCell ref="B109:B114"/>
    <mergeCell ref="C109:C114"/>
    <mergeCell ref="D109:D114"/>
    <mergeCell ref="E109:E114"/>
    <mergeCell ref="J97:J101"/>
    <mergeCell ref="F102:G102"/>
    <mergeCell ref="A103:A108"/>
    <mergeCell ref="B103:B108"/>
    <mergeCell ref="C103:C108"/>
    <mergeCell ref="E103:E108"/>
    <mergeCell ref="J103:J107"/>
    <mergeCell ref="F108:G108"/>
    <mergeCell ref="A97:A102"/>
    <mergeCell ref="B97:B102"/>
    <mergeCell ref="C97:C102"/>
    <mergeCell ref="D97:D102"/>
    <mergeCell ref="E97:E102"/>
    <mergeCell ref="D103:D108"/>
    <mergeCell ref="J85:J89"/>
    <mergeCell ref="F90:G90"/>
    <mergeCell ref="A91:A96"/>
    <mergeCell ref="B91:B96"/>
    <mergeCell ref="C91:C96"/>
    <mergeCell ref="D91:D96"/>
    <mergeCell ref="E91:E96"/>
    <mergeCell ref="J91:J95"/>
    <mergeCell ref="F96:G96"/>
    <mergeCell ref="A85:A90"/>
    <mergeCell ref="B85:B90"/>
    <mergeCell ref="C85:C90"/>
    <mergeCell ref="D85:D90"/>
    <mergeCell ref="E85:E90"/>
    <mergeCell ref="J73:J77"/>
    <mergeCell ref="F78:G78"/>
    <mergeCell ref="A79:A84"/>
    <mergeCell ref="B79:B84"/>
    <mergeCell ref="C79:C84"/>
    <mergeCell ref="D79:D84"/>
    <mergeCell ref="E79:E84"/>
    <mergeCell ref="J79:J83"/>
    <mergeCell ref="F84:G84"/>
    <mergeCell ref="A73:A78"/>
    <mergeCell ref="B73:B78"/>
    <mergeCell ref="C73:C78"/>
    <mergeCell ref="D73:D78"/>
    <mergeCell ref="E73:E78"/>
    <mergeCell ref="B67:B72"/>
    <mergeCell ref="C67:C72"/>
    <mergeCell ref="D67:D72"/>
    <mergeCell ref="E67:E72"/>
    <mergeCell ref="J67:J71"/>
    <mergeCell ref="F72:G72"/>
    <mergeCell ref="A61:A66"/>
    <mergeCell ref="B61:B66"/>
    <mergeCell ref="C61:C66"/>
    <mergeCell ref="D61:D66"/>
    <mergeCell ref="E61:E66"/>
    <mergeCell ref="J61:J65"/>
    <mergeCell ref="F66:G66"/>
    <mergeCell ref="A67:A72"/>
    <mergeCell ref="J49:J53"/>
    <mergeCell ref="F54:G54"/>
    <mergeCell ref="A55:A60"/>
    <mergeCell ref="B55:B60"/>
    <mergeCell ref="C55:C60"/>
    <mergeCell ref="D55:D60"/>
    <mergeCell ref="E55:E60"/>
    <mergeCell ref="J55:J59"/>
    <mergeCell ref="F60:G60"/>
    <mergeCell ref="A49:A54"/>
    <mergeCell ref="B49:B54"/>
    <mergeCell ref="C49:C54"/>
    <mergeCell ref="D49:D54"/>
    <mergeCell ref="E49:E54"/>
    <mergeCell ref="A1:L1"/>
    <mergeCell ref="A2:L2"/>
    <mergeCell ref="A3:L3"/>
    <mergeCell ref="A4:L4"/>
    <mergeCell ref="A7:A12"/>
    <mergeCell ref="B7:B12"/>
    <mergeCell ref="C7:C12"/>
    <mergeCell ref="D7:D12"/>
    <mergeCell ref="E7:E12"/>
    <mergeCell ref="J7:J11"/>
    <mergeCell ref="F12:G12"/>
    <mergeCell ref="E13:E18"/>
    <mergeCell ref="J13:J17"/>
    <mergeCell ref="F18:G18"/>
    <mergeCell ref="A19:A24"/>
    <mergeCell ref="B19:B24"/>
    <mergeCell ref="C19:C24"/>
    <mergeCell ref="D19:D24"/>
    <mergeCell ref="E19:E24"/>
    <mergeCell ref="J19:J23"/>
    <mergeCell ref="F24:G24"/>
    <mergeCell ref="A13:A18"/>
    <mergeCell ref="B13:B18"/>
    <mergeCell ref="C13:C18"/>
    <mergeCell ref="D13:D18"/>
    <mergeCell ref="J25:J29"/>
    <mergeCell ref="F30:G30"/>
    <mergeCell ref="A31:A36"/>
    <mergeCell ref="B31:B36"/>
    <mergeCell ref="C31:C36"/>
    <mergeCell ref="D31:D36"/>
    <mergeCell ref="E31:E36"/>
    <mergeCell ref="J31:J35"/>
    <mergeCell ref="F36:G36"/>
    <mergeCell ref="A25:A30"/>
    <mergeCell ref="B25:B30"/>
    <mergeCell ref="C25:C30"/>
    <mergeCell ref="D25:D30"/>
    <mergeCell ref="E25:E30"/>
    <mergeCell ref="A397:A402"/>
    <mergeCell ref="B397:B402"/>
    <mergeCell ref="C397:C402"/>
    <mergeCell ref="D397:D402"/>
    <mergeCell ref="E397:E402"/>
    <mergeCell ref="J397:J401"/>
    <mergeCell ref="F402:G402"/>
    <mergeCell ref="A403:A408"/>
    <mergeCell ref="B403:B408"/>
    <mergeCell ref="C403:C408"/>
    <mergeCell ref="D403:D408"/>
    <mergeCell ref="E403:E408"/>
    <mergeCell ref="J403:J407"/>
    <mergeCell ref="F408:G408"/>
    <mergeCell ref="A409:A414"/>
    <mergeCell ref="B409:B414"/>
    <mergeCell ref="C409:C414"/>
    <mergeCell ref="D409:D414"/>
    <mergeCell ref="E409:E414"/>
    <mergeCell ref="J409:J413"/>
    <mergeCell ref="F414:G414"/>
    <mergeCell ref="A415:A420"/>
    <mergeCell ref="B415:B420"/>
    <mergeCell ref="C415:C420"/>
    <mergeCell ref="D415:D420"/>
    <mergeCell ref="E415:E420"/>
    <mergeCell ref="J415:J419"/>
    <mergeCell ref="F420:G420"/>
    <mergeCell ref="A421:A426"/>
    <mergeCell ref="B421:B426"/>
    <mergeCell ref="C421:C426"/>
    <mergeCell ref="D421:D426"/>
    <mergeCell ref="E421:E426"/>
    <mergeCell ref="J421:J425"/>
    <mergeCell ref="F426:G426"/>
    <mergeCell ref="A427:A432"/>
    <mergeCell ref="B427:B432"/>
    <mergeCell ref="C427:C432"/>
    <mergeCell ref="D427:D432"/>
    <mergeCell ref="E427:E432"/>
    <mergeCell ref="J427:J431"/>
    <mergeCell ref="F432:G432"/>
    <mergeCell ref="A433:A438"/>
    <mergeCell ref="B433:B438"/>
    <mergeCell ref="C433:C438"/>
    <mergeCell ref="D433:D438"/>
    <mergeCell ref="E433:E438"/>
    <mergeCell ref="J433:J437"/>
    <mergeCell ref="F438:G438"/>
    <mergeCell ref="A439:A444"/>
    <mergeCell ref="B439:B444"/>
    <mergeCell ref="C439:C444"/>
    <mergeCell ref="D439:D444"/>
    <mergeCell ref="E439:E444"/>
    <mergeCell ref="J439:J443"/>
    <mergeCell ref="F444:G444"/>
    <mergeCell ref="A445:A450"/>
    <mergeCell ref="B445:B450"/>
    <mergeCell ref="C445:C450"/>
    <mergeCell ref="D445:D450"/>
    <mergeCell ref="E445:E450"/>
    <mergeCell ref="J445:J449"/>
    <mergeCell ref="F450:G450"/>
    <mergeCell ref="A451:A456"/>
    <mergeCell ref="B451:B456"/>
    <mergeCell ref="C451:C456"/>
    <mergeCell ref="D451:D456"/>
    <mergeCell ref="E451:E456"/>
    <mergeCell ref="J451:J455"/>
    <mergeCell ref="F456:G456"/>
    <mergeCell ref="A457:A462"/>
    <mergeCell ref="B457:B462"/>
    <mergeCell ref="C457:C462"/>
    <mergeCell ref="D457:D462"/>
    <mergeCell ref="E457:E462"/>
    <mergeCell ref="J457:J461"/>
    <mergeCell ref="F462:G462"/>
    <mergeCell ref="A463:A468"/>
    <mergeCell ref="B463:B468"/>
    <mergeCell ref="C463:C468"/>
    <mergeCell ref="D463:D468"/>
    <mergeCell ref="E463:E468"/>
    <mergeCell ref="J463:J467"/>
    <mergeCell ref="F468:G468"/>
    <mergeCell ref="A469:A474"/>
    <mergeCell ref="B469:B474"/>
    <mergeCell ref="C469:C474"/>
    <mergeCell ref="D469:D474"/>
    <mergeCell ref="E469:E474"/>
    <mergeCell ref="J469:J473"/>
    <mergeCell ref="F474:G474"/>
    <mergeCell ref="A475:A480"/>
    <mergeCell ref="B475:B480"/>
    <mergeCell ref="C475:C480"/>
    <mergeCell ref="D475:D480"/>
    <mergeCell ref="E475:E480"/>
    <mergeCell ref="J475:J479"/>
    <mergeCell ref="F480:G480"/>
    <mergeCell ref="A481:A486"/>
    <mergeCell ref="B481:B486"/>
    <mergeCell ref="C481:C486"/>
    <mergeCell ref="D481:D486"/>
    <mergeCell ref="E481:E486"/>
    <mergeCell ref="J481:J485"/>
    <mergeCell ref="F486:G486"/>
    <mergeCell ref="A487:A492"/>
    <mergeCell ref="B487:B492"/>
    <mergeCell ref="C487:C492"/>
    <mergeCell ref="D487:D492"/>
    <mergeCell ref="E487:E492"/>
    <mergeCell ref="J487:J491"/>
    <mergeCell ref="F492:G492"/>
    <mergeCell ref="A493:A498"/>
    <mergeCell ref="B493:B498"/>
    <mergeCell ref="C493:C498"/>
    <mergeCell ref="D493:D498"/>
    <mergeCell ref="E493:E498"/>
    <mergeCell ref="J493:J497"/>
    <mergeCell ref="F498:G498"/>
    <mergeCell ref="A499:A504"/>
    <mergeCell ref="B499:B504"/>
    <mergeCell ref="C499:C504"/>
    <mergeCell ref="D499:D504"/>
    <mergeCell ref="E499:E504"/>
    <mergeCell ref="J499:J503"/>
    <mergeCell ref="F504:G504"/>
    <mergeCell ref="A505:A510"/>
    <mergeCell ref="B505:B510"/>
    <mergeCell ref="C505:C510"/>
    <mergeCell ref="D505:D510"/>
    <mergeCell ref="E505:E510"/>
    <mergeCell ref="J505:J509"/>
    <mergeCell ref="F510:G510"/>
    <mergeCell ref="A511:A516"/>
    <mergeCell ref="B511:B516"/>
    <mergeCell ref="C511:C516"/>
    <mergeCell ref="D511:D516"/>
    <mergeCell ref="E511:E516"/>
    <mergeCell ref="J511:J515"/>
    <mergeCell ref="F516:G516"/>
    <mergeCell ref="A517:A522"/>
    <mergeCell ref="B517:B522"/>
    <mergeCell ref="C517:C522"/>
    <mergeCell ref="D517:D522"/>
    <mergeCell ref="E517:E522"/>
    <mergeCell ref="J517:J521"/>
    <mergeCell ref="F522:G522"/>
    <mergeCell ref="A523:A528"/>
    <mergeCell ref="B523:B528"/>
    <mergeCell ref="C523:C528"/>
    <mergeCell ref="D523:D528"/>
    <mergeCell ref="E523:E528"/>
    <mergeCell ref="J523:J527"/>
    <mergeCell ref="F528:G528"/>
    <mergeCell ref="A529:A534"/>
    <mergeCell ref="B529:B534"/>
    <mergeCell ref="C529:C534"/>
    <mergeCell ref="D529:D534"/>
    <mergeCell ref="E529:E534"/>
    <mergeCell ref="J529:J533"/>
    <mergeCell ref="F534:G534"/>
    <mergeCell ref="A535:A540"/>
    <mergeCell ref="B535:B540"/>
    <mergeCell ref="C535:C540"/>
    <mergeCell ref="D535:D540"/>
    <mergeCell ref="E535:E540"/>
    <mergeCell ref="J535:J539"/>
    <mergeCell ref="F540:G540"/>
    <mergeCell ref="A559:A564"/>
    <mergeCell ref="B559:B564"/>
    <mergeCell ref="C559:C564"/>
    <mergeCell ref="D559:D564"/>
    <mergeCell ref="E559:E564"/>
    <mergeCell ref="J559:J563"/>
    <mergeCell ref="F564:G564"/>
    <mergeCell ref="A541:A546"/>
    <mergeCell ref="B541:B546"/>
    <mergeCell ref="C541:C546"/>
    <mergeCell ref="D541:D546"/>
    <mergeCell ref="E541:E546"/>
    <mergeCell ref="J541:J545"/>
    <mergeCell ref="F546:G546"/>
    <mergeCell ref="A553:A558"/>
    <mergeCell ref="B553:B558"/>
    <mergeCell ref="C553:C558"/>
    <mergeCell ref="D553:D558"/>
    <mergeCell ref="E553:E558"/>
    <mergeCell ref="J553:J557"/>
    <mergeCell ref="F558:G558"/>
    <mergeCell ref="A547:A552"/>
    <mergeCell ref="B547:B552"/>
    <mergeCell ref="C547:C552"/>
    <mergeCell ref="A565:A570"/>
    <mergeCell ref="B565:B570"/>
    <mergeCell ref="C565:C570"/>
    <mergeCell ref="D565:D570"/>
    <mergeCell ref="E565:E570"/>
    <mergeCell ref="J565:J569"/>
    <mergeCell ref="F570:G570"/>
    <mergeCell ref="A571:A576"/>
    <mergeCell ref="B571:B576"/>
    <mergeCell ref="C571:C576"/>
    <mergeCell ref="D571:D576"/>
    <mergeCell ref="E571:E576"/>
    <mergeCell ref="J571:J575"/>
    <mergeCell ref="F576:G576"/>
    <mergeCell ref="A577:A582"/>
    <mergeCell ref="B577:B582"/>
    <mergeCell ref="C577:C582"/>
    <mergeCell ref="D577:D582"/>
    <mergeCell ref="E577:E582"/>
    <mergeCell ref="J577:J581"/>
    <mergeCell ref="F582:G582"/>
    <mergeCell ref="A583:A588"/>
    <mergeCell ref="B583:B588"/>
    <mergeCell ref="C583:C588"/>
    <mergeCell ref="D583:D588"/>
    <mergeCell ref="E583:E588"/>
    <mergeCell ref="J583:J587"/>
    <mergeCell ref="F588:G588"/>
    <mergeCell ref="A589:A594"/>
    <mergeCell ref="B589:B594"/>
    <mergeCell ref="C589:C594"/>
    <mergeCell ref="D589:D594"/>
    <mergeCell ref="E589:E594"/>
    <mergeCell ref="J589:J593"/>
    <mergeCell ref="F594:G594"/>
    <mergeCell ref="A595:A600"/>
    <mergeCell ref="B595:B600"/>
    <mergeCell ref="C595:C600"/>
    <mergeCell ref="D595:D600"/>
    <mergeCell ref="E595:E600"/>
    <mergeCell ref="J595:J599"/>
    <mergeCell ref="F600:G600"/>
    <mergeCell ref="A601:A606"/>
    <mergeCell ref="B601:B606"/>
    <mergeCell ref="C601:C606"/>
    <mergeCell ref="D601:D606"/>
    <mergeCell ref="E601:E606"/>
    <mergeCell ref="J601:J605"/>
    <mergeCell ref="F606:G606"/>
    <mergeCell ref="A607:A612"/>
    <mergeCell ref="B607:B612"/>
    <mergeCell ref="C607:C612"/>
    <mergeCell ref="D607:D612"/>
    <mergeCell ref="E607:E612"/>
    <mergeCell ref="J607:J611"/>
    <mergeCell ref="F612:G612"/>
    <mergeCell ref="A613:A618"/>
    <mergeCell ref="B613:B618"/>
    <mergeCell ref="C613:C618"/>
    <mergeCell ref="D613:D618"/>
    <mergeCell ref="E613:E618"/>
    <mergeCell ref="J613:J617"/>
    <mergeCell ref="F618:G618"/>
    <mergeCell ref="A619:A624"/>
    <mergeCell ref="B619:B624"/>
    <mergeCell ref="C619:C624"/>
    <mergeCell ref="D619:D624"/>
    <mergeCell ref="E619:E624"/>
    <mergeCell ref="J619:J623"/>
    <mergeCell ref="F624:G624"/>
    <mergeCell ref="A625:A630"/>
    <mergeCell ref="B625:B630"/>
    <mergeCell ref="C625:C630"/>
    <mergeCell ref="D625:D630"/>
    <mergeCell ref="E625:E630"/>
    <mergeCell ref="J625:J629"/>
    <mergeCell ref="F630:G630"/>
    <mergeCell ref="A631:A636"/>
    <mergeCell ref="B631:B636"/>
    <mergeCell ref="C631:C636"/>
    <mergeCell ref="D631:D636"/>
    <mergeCell ref="E631:E636"/>
    <mergeCell ref="J631:J635"/>
    <mergeCell ref="F636:G636"/>
    <mergeCell ref="A637:A642"/>
    <mergeCell ref="B637:B642"/>
    <mergeCell ref="C637:C642"/>
    <mergeCell ref="D637:D642"/>
    <mergeCell ref="E637:E642"/>
    <mergeCell ref="J637:J641"/>
    <mergeCell ref="F642:G642"/>
    <mergeCell ref="A643:A648"/>
    <mergeCell ref="B643:B648"/>
    <mergeCell ref="C643:C648"/>
    <mergeCell ref="D643:D648"/>
    <mergeCell ref="E643:E648"/>
    <mergeCell ref="J643:J647"/>
    <mergeCell ref="F648:G648"/>
    <mergeCell ref="A649:A654"/>
    <mergeCell ref="B649:B654"/>
    <mergeCell ref="C649:C654"/>
    <mergeCell ref="D649:D654"/>
    <mergeCell ref="E649:E654"/>
    <mergeCell ref="J649:J653"/>
    <mergeCell ref="F654:G654"/>
    <mergeCell ref="A655:A660"/>
    <mergeCell ref="B655:B660"/>
    <mergeCell ref="C655:C660"/>
    <mergeCell ref="D655:D660"/>
    <mergeCell ref="E655:E660"/>
    <mergeCell ref="J655:J659"/>
    <mergeCell ref="F660:G660"/>
    <mergeCell ref="A661:A666"/>
    <mergeCell ref="B661:B666"/>
    <mergeCell ref="C661:C666"/>
    <mergeCell ref="D661:D666"/>
    <mergeCell ref="E661:E666"/>
    <mergeCell ref="J661:J665"/>
    <mergeCell ref="F666:G666"/>
    <mergeCell ref="A667:A672"/>
    <mergeCell ref="B667:B672"/>
    <mergeCell ref="C667:C672"/>
    <mergeCell ref="D667:D672"/>
    <mergeCell ref="E667:E672"/>
    <mergeCell ref="J667:J671"/>
    <mergeCell ref="F672:G672"/>
    <mergeCell ref="F690:G690"/>
    <mergeCell ref="A691:A696"/>
    <mergeCell ref="B691:B696"/>
    <mergeCell ref="C691:C696"/>
    <mergeCell ref="D691:D696"/>
    <mergeCell ref="E691:E696"/>
    <mergeCell ref="J691:J695"/>
    <mergeCell ref="F696:G696"/>
    <mergeCell ref="A673:A678"/>
    <mergeCell ref="B673:B678"/>
    <mergeCell ref="C673:C678"/>
    <mergeCell ref="D673:D678"/>
    <mergeCell ref="E673:E678"/>
    <mergeCell ref="J673:J677"/>
    <mergeCell ref="F678:G678"/>
    <mergeCell ref="A679:A684"/>
    <mergeCell ref="B679:B684"/>
    <mergeCell ref="C679:C684"/>
    <mergeCell ref="D679:D684"/>
    <mergeCell ref="E679:E684"/>
    <mergeCell ref="J679:J683"/>
    <mergeCell ref="F684:G684"/>
    <mergeCell ref="D547:D552"/>
    <mergeCell ref="E547:E552"/>
    <mergeCell ref="J547:J551"/>
    <mergeCell ref="F552:G552"/>
    <mergeCell ref="A703:A708"/>
    <mergeCell ref="B703:B708"/>
    <mergeCell ref="C703:C708"/>
    <mergeCell ref="D703:D708"/>
    <mergeCell ref="E703:E708"/>
    <mergeCell ref="J703:J707"/>
    <mergeCell ref="F708:G708"/>
    <mergeCell ref="A697:A702"/>
    <mergeCell ref="B697:B702"/>
    <mergeCell ref="C697:C702"/>
    <mergeCell ref="D697:D702"/>
    <mergeCell ref="E697:E702"/>
    <mergeCell ref="J697:J701"/>
    <mergeCell ref="F702:G702"/>
    <mergeCell ref="A685:A690"/>
    <mergeCell ref="B685:B690"/>
    <mergeCell ref="C685:C690"/>
    <mergeCell ref="D685:D690"/>
    <mergeCell ref="E685:E690"/>
    <mergeCell ref="J685:J689"/>
    <mergeCell ref="A721:A726"/>
    <mergeCell ref="B721:B726"/>
    <mergeCell ref="C721:C726"/>
    <mergeCell ref="D721:D726"/>
    <mergeCell ref="E721:E726"/>
    <mergeCell ref="J721:J725"/>
    <mergeCell ref="F726:G726"/>
    <mergeCell ref="A709:A714"/>
    <mergeCell ref="B709:B714"/>
    <mergeCell ref="C709:C714"/>
    <mergeCell ref="D709:D714"/>
    <mergeCell ref="E709:E714"/>
    <mergeCell ref="J709:J713"/>
    <mergeCell ref="F714:G714"/>
    <mergeCell ref="A715:A720"/>
    <mergeCell ref="B715:B720"/>
    <mergeCell ref="C715:C720"/>
    <mergeCell ref="D715:D720"/>
    <mergeCell ref="E715:E720"/>
    <mergeCell ref="J715:J719"/>
    <mergeCell ref="F720:G720"/>
  </mergeCells>
  <pageMargins left="0.15748031496062992" right="0" top="0.23622047244094491" bottom="0.23622047244094491" header="0.31496062992125984" footer="0.31496062992125984"/>
  <pageSetup paperSize="9"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9"/>
  <sheetViews>
    <sheetView topLeftCell="A16" workbookViewId="0">
      <selection activeCell="D7" sqref="D7"/>
    </sheetView>
  </sheetViews>
  <sheetFormatPr defaultRowHeight="14.4" x14ac:dyDescent="0.3"/>
  <cols>
    <col min="2" max="2" width="25.6640625" customWidth="1"/>
    <col min="4" max="4" width="13.5546875" customWidth="1"/>
    <col min="5" max="5" width="14" customWidth="1"/>
    <col min="6" max="6" width="12.88671875" customWidth="1"/>
    <col min="7" max="7" width="15.33203125" customWidth="1"/>
    <col min="8" max="8" width="14.88671875" customWidth="1"/>
    <col min="9" max="9" width="12.6640625" customWidth="1"/>
  </cols>
  <sheetData>
    <row r="1" spans="1:8" ht="20.399999999999999" x14ac:dyDescent="0.35">
      <c r="A1" s="317" t="s">
        <v>10</v>
      </c>
      <c r="B1" s="317"/>
      <c r="C1" s="317"/>
      <c r="D1" s="317"/>
      <c r="E1" s="317"/>
      <c r="F1" s="317"/>
      <c r="G1" s="317"/>
      <c r="H1" s="317"/>
    </row>
    <row r="2" spans="1:8" ht="20.399999999999999" x14ac:dyDescent="0.35">
      <c r="A2" s="317" t="s">
        <v>11</v>
      </c>
      <c r="B2" s="317"/>
      <c r="C2" s="317"/>
      <c r="D2" s="317"/>
      <c r="E2" s="317"/>
      <c r="F2" s="317"/>
      <c r="G2" s="317"/>
      <c r="H2" s="317"/>
    </row>
    <row r="3" spans="1:8" ht="21" thickBot="1" x14ac:dyDescent="0.4">
      <c r="A3" s="403" t="s">
        <v>12</v>
      </c>
      <c r="B3" s="403"/>
      <c r="C3" s="403"/>
      <c r="D3" s="403"/>
      <c r="E3" s="403"/>
      <c r="F3" s="403"/>
      <c r="G3" s="403"/>
      <c r="H3" s="403"/>
    </row>
    <row r="4" spans="1:8" ht="20.399999999999999" x14ac:dyDescent="0.35">
      <c r="A4" s="404" t="s">
        <v>445</v>
      </c>
      <c r="B4" s="404"/>
      <c r="C4" s="404"/>
      <c r="D4" s="404"/>
      <c r="E4" s="404"/>
      <c r="F4" s="404"/>
      <c r="G4" s="404"/>
      <c r="H4" s="404"/>
    </row>
    <row r="6" spans="1:8" ht="27.6" x14ac:dyDescent="0.3">
      <c r="A6" s="9" t="s">
        <v>0</v>
      </c>
      <c r="B6" s="10" t="s">
        <v>21</v>
      </c>
      <c r="C6" s="12" t="s">
        <v>28</v>
      </c>
      <c r="D6" s="11" t="s">
        <v>18</v>
      </c>
      <c r="E6" s="11" t="s">
        <v>19</v>
      </c>
      <c r="F6" s="11" t="s">
        <v>43</v>
      </c>
      <c r="G6" s="11" t="s">
        <v>42</v>
      </c>
      <c r="H6" s="11" t="s">
        <v>20</v>
      </c>
    </row>
    <row r="7" spans="1:8" ht="34.5" customHeight="1" x14ac:dyDescent="0.3">
      <c r="A7" s="117">
        <v>1</v>
      </c>
      <c r="B7" s="118" t="s">
        <v>22</v>
      </c>
      <c r="C7" s="119" t="s">
        <v>29</v>
      </c>
      <c r="D7" s="119">
        <v>0</v>
      </c>
      <c r="E7" s="120">
        <v>17500</v>
      </c>
      <c r="F7" s="121">
        <f>+'Genera A'!M102</f>
        <v>210000</v>
      </c>
      <c r="G7" s="120">
        <f>+'Genera A'!L102</f>
        <v>135000</v>
      </c>
      <c r="H7" s="120">
        <f>+F7-G7</f>
        <v>75000</v>
      </c>
    </row>
    <row r="8" spans="1:8" ht="34.5" customHeight="1" x14ac:dyDescent="0.3">
      <c r="A8" s="117">
        <v>2</v>
      </c>
      <c r="B8" s="118" t="s">
        <v>22</v>
      </c>
      <c r="C8" s="119" t="s">
        <v>30</v>
      </c>
      <c r="D8" s="119">
        <v>1</v>
      </c>
      <c r="E8" s="120">
        <v>14500</v>
      </c>
      <c r="F8" s="121">
        <f>+'Individual Register 2025-2026'!M388</f>
        <v>0</v>
      </c>
      <c r="G8" s="120">
        <f>+'Individual Register 2025-2026'!L388</f>
        <v>0</v>
      </c>
      <c r="H8" s="120">
        <f>+'Individual Register 2025-2026'!N388</f>
        <v>0</v>
      </c>
    </row>
    <row r="9" spans="1:8" ht="18" customHeight="1" x14ac:dyDescent="0.3">
      <c r="A9" s="119">
        <v>3</v>
      </c>
      <c r="B9" s="120" t="s">
        <v>40</v>
      </c>
      <c r="C9" s="117" t="s">
        <v>31</v>
      </c>
      <c r="D9" s="119">
        <v>0</v>
      </c>
      <c r="E9" s="120">
        <v>17500</v>
      </c>
      <c r="F9" s="121">
        <f>+'D.Pharm  (A)'!M18</f>
        <v>0</v>
      </c>
      <c r="G9" s="120">
        <f>+'D.Pharm  (A)'!L18</f>
        <v>0</v>
      </c>
      <c r="H9" s="120">
        <f t="shared" ref="H9:H24" si="0">+F9-G9</f>
        <v>0</v>
      </c>
    </row>
    <row r="10" spans="1:8" ht="18" customHeight="1" x14ac:dyDescent="0.3">
      <c r="A10" s="119">
        <v>4</v>
      </c>
      <c r="B10" s="120" t="s">
        <v>40</v>
      </c>
      <c r="C10" s="117" t="s">
        <v>32</v>
      </c>
      <c r="D10" s="119">
        <v>0</v>
      </c>
      <c r="E10" s="120">
        <v>14500</v>
      </c>
      <c r="F10" s="121">
        <f>+'D.Pharm (B)'!M54</f>
        <v>72500</v>
      </c>
      <c r="G10" s="120">
        <f>+'D.Pharm (B)'!L54</f>
        <v>45000</v>
      </c>
      <c r="H10" s="120">
        <f t="shared" si="0"/>
        <v>27500</v>
      </c>
    </row>
    <row r="11" spans="1:8" ht="18" customHeight="1" x14ac:dyDescent="0.3">
      <c r="A11" s="119">
        <v>5</v>
      </c>
      <c r="B11" s="120" t="s">
        <v>27</v>
      </c>
      <c r="C11" s="117" t="s">
        <v>33</v>
      </c>
      <c r="D11" s="119">
        <v>0</v>
      </c>
      <c r="E11" s="120">
        <v>17500</v>
      </c>
      <c r="F11" s="121">
        <f>+'B.Pharm I'!M60</f>
        <v>122500</v>
      </c>
      <c r="G11" s="120">
        <f>+'B.Pharm I'!L60</f>
        <v>63500</v>
      </c>
      <c r="H11" s="120">
        <f t="shared" si="0"/>
        <v>59000</v>
      </c>
    </row>
    <row r="12" spans="1:8" ht="18" customHeight="1" x14ac:dyDescent="0.3">
      <c r="A12" s="119">
        <v>6</v>
      </c>
      <c r="B12" s="120" t="s">
        <v>27</v>
      </c>
      <c r="C12" s="117" t="s">
        <v>34</v>
      </c>
      <c r="D12" s="119">
        <v>0</v>
      </c>
      <c r="E12" s="120">
        <v>14500</v>
      </c>
      <c r="F12" s="121">
        <f>+'B.Pharm I (B)'!M18</f>
        <v>0</v>
      </c>
      <c r="G12" s="120">
        <f>+'B.Pharm I (B)'!L18</f>
        <v>0</v>
      </c>
      <c r="H12" s="120">
        <f t="shared" si="0"/>
        <v>0</v>
      </c>
    </row>
    <row r="13" spans="1:8" ht="18" customHeight="1" x14ac:dyDescent="0.3">
      <c r="A13" s="119">
        <v>7</v>
      </c>
      <c r="B13" s="120" t="s">
        <v>24</v>
      </c>
      <c r="C13" s="117" t="s">
        <v>35</v>
      </c>
      <c r="D13" s="119">
        <v>0</v>
      </c>
      <c r="E13" s="120">
        <v>17500</v>
      </c>
      <c r="F13" s="121">
        <f>+'B.Pharm II'!M114</f>
        <v>262500</v>
      </c>
      <c r="G13" s="120">
        <f>+'B.Pharm II'!L114</f>
        <v>180000</v>
      </c>
      <c r="H13" s="120">
        <f t="shared" si="0"/>
        <v>82500</v>
      </c>
    </row>
    <row r="14" spans="1:8" ht="18" customHeight="1" x14ac:dyDescent="0.3">
      <c r="A14" s="119">
        <v>8</v>
      </c>
      <c r="B14" s="120" t="s">
        <v>24</v>
      </c>
      <c r="C14" s="117" t="s">
        <v>34</v>
      </c>
      <c r="D14" s="119">
        <v>0</v>
      </c>
      <c r="E14" s="120">
        <v>14500</v>
      </c>
      <c r="F14" s="121">
        <f>+'B.Pharm II (B)'!M49</f>
        <v>43500</v>
      </c>
      <c r="G14" s="120">
        <f>+'B.Pharm II (B)'!L49</f>
        <v>26000</v>
      </c>
      <c r="H14" s="120">
        <f t="shared" si="0"/>
        <v>17500</v>
      </c>
    </row>
    <row r="15" spans="1:8" ht="18" customHeight="1" x14ac:dyDescent="0.3">
      <c r="A15" s="119">
        <v>9</v>
      </c>
      <c r="B15" s="120" t="s">
        <v>25</v>
      </c>
      <c r="C15" s="117" t="s">
        <v>35</v>
      </c>
      <c r="D15" s="119">
        <v>0</v>
      </c>
      <c r="E15" s="120">
        <v>17500</v>
      </c>
      <c r="F15" s="121">
        <f>+'B.Pharm III'!M109</f>
        <v>140000</v>
      </c>
      <c r="G15" s="120">
        <f>+'B.Pharm III'!L109</f>
        <v>94000</v>
      </c>
      <c r="H15" s="120">
        <f>+F15-G15</f>
        <v>46000</v>
      </c>
    </row>
    <row r="16" spans="1:8" ht="18" customHeight="1" x14ac:dyDescent="0.3">
      <c r="A16" s="119">
        <v>10</v>
      </c>
      <c r="B16" s="120" t="s">
        <v>25</v>
      </c>
      <c r="C16" s="117" t="s">
        <v>34</v>
      </c>
      <c r="D16" s="119">
        <v>0</v>
      </c>
      <c r="E16" s="120">
        <v>14500</v>
      </c>
      <c r="F16" s="121">
        <f>+'B.Pharm III (B)'!M60</f>
        <v>43500</v>
      </c>
      <c r="G16" s="120">
        <f>+'B.Pharm III (B)'!L60</f>
        <v>29500</v>
      </c>
      <c r="H16" s="120">
        <f>+'B.Pharm III (B)'!N60</f>
        <v>14000</v>
      </c>
    </row>
    <row r="17" spans="1:9" ht="18" customHeight="1" x14ac:dyDescent="0.3">
      <c r="A17" s="119">
        <v>11</v>
      </c>
      <c r="B17" s="120" t="s">
        <v>36</v>
      </c>
      <c r="C17" s="117" t="s">
        <v>35</v>
      </c>
      <c r="D17" s="119">
        <v>0</v>
      </c>
      <c r="E17" s="120">
        <v>17500</v>
      </c>
      <c r="F17" s="121">
        <f>+'B.Pharm IV'!M127</f>
        <v>332500</v>
      </c>
      <c r="G17" s="120">
        <f>+'B.Pharm IV'!L127</f>
        <v>223000</v>
      </c>
      <c r="H17" s="120">
        <f t="shared" si="0"/>
        <v>109500</v>
      </c>
    </row>
    <row r="18" spans="1:9" ht="18" customHeight="1" x14ac:dyDescent="0.3">
      <c r="A18" s="119">
        <v>12</v>
      </c>
      <c r="B18" s="120" t="s">
        <v>36</v>
      </c>
      <c r="C18" s="117" t="s">
        <v>34</v>
      </c>
      <c r="D18" s="119">
        <v>0</v>
      </c>
      <c r="E18" s="120">
        <v>14500</v>
      </c>
      <c r="F18" s="121">
        <f>+'B.Pharm IV (B)'!M48</f>
        <v>87000</v>
      </c>
      <c r="G18" s="120">
        <f>+'B.Pharm IV (B)'!L48</f>
        <v>68000</v>
      </c>
      <c r="H18" s="120">
        <f t="shared" si="0"/>
        <v>19000</v>
      </c>
    </row>
    <row r="19" spans="1:9" ht="18" customHeight="1" x14ac:dyDescent="0.3">
      <c r="A19" s="119">
        <v>13</v>
      </c>
      <c r="B19" s="120" t="s">
        <v>37</v>
      </c>
      <c r="C19" s="117" t="s">
        <v>35</v>
      </c>
      <c r="D19" s="119">
        <v>0</v>
      </c>
      <c r="E19" s="120">
        <v>17500</v>
      </c>
      <c r="F19" s="121">
        <f>+'M.Pharm I &amp; II'!M79</f>
        <v>192500</v>
      </c>
      <c r="G19" s="120">
        <f>+'M.Pharm I &amp; II'!L79</f>
        <v>101500</v>
      </c>
      <c r="H19" s="120">
        <f t="shared" si="0"/>
        <v>91000</v>
      </c>
    </row>
    <row r="20" spans="1:9" ht="18" customHeight="1" x14ac:dyDescent="0.3">
      <c r="A20" s="119">
        <v>14</v>
      </c>
      <c r="B20" s="120" t="s">
        <v>37</v>
      </c>
      <c r="C20" s="117" t="s">
        <v>34</v>
      </c>
      <c r="D20" s="119">
        <v>0</v>
      </c>
      <c r="E20" s="120">
        <v>14500</v>
      </c>
      <c r="F20" s="121">
        <f>+'M.Pharm I &amp; II (B)'!M42</f>
        <v>29000</v>
      </c>
      <c r="G20" s="120">
        <f>+'M.Pharm I &amp; II (B)'!L42</f>
        <v>18000</v>
      </c>
      <c r="H20" s="120">
        <f t="shared" si="0"/>
        <v>11000</v>
      </c>
    </row>
    <row r="21" spans="1:9" ht="18" customHeight="1" x14ac:dyDescent="0.3">
      <c r="A21" s="119">
        <v>15</v>
      </c>
      <c r="B21" s="120" t="s">
        <v>38</v>
      </c>
      <c r="C21" s="117" t="s">
        <v>35</v>
      </c>
      <c r="D21" s="119">
        <v>0</v>
      </c>
      <c r="E21" s="120">
        <v>17500</v>
      </c>
      <c r="F21" s="121">
        <f>+'B.Ed I &amp; II'!M36</f>
        <v>17500</v>
      </c>
      <c r="G21" s="120">
        <f>+'B.Ed I &amp; II'!L36</f>
        <v>5000</v>
      </c>
      <c r="H21" s="120">
        <f t="shared" si="0"/>
        <v>12500</v>
      </c>
    </row>
    <row r="22" spans="1:9" ht="18" customHeight="1" x14ac:dyDescent="0.3">
      <c r="A22" s="119">
        <v>16</v>
      </c>
      <c r="B22" s="120" t="s">
        <v>38</v>
      </c>
      <c r="C22" s="117" t="s">
        <v>34</v>
      </c>
      <c r="D22" s="119">
        <v>0</v>
      </c>
      <c r="E22" s="120">
        <v>14500</v>
      </c>
      <c r="F22" s="121">
        <f>+'B.Ed I &amp; II (B)'!M109</f>
        <v>232000</v>
      </c>
      <c r="G22" s="120">
        <f>+'B.Ed I &amp; II (B)'!L109</f>
        <v>155500</v>
      </c>
      <c r="H22" s="120">
        <f t="shared" si="0"/>
        <v>76500</v>
      </c>
    </row>
    <row r="23" spans="1:9" ht="18" customHeight="1" x14ac:dyDescent="0.3">
      <c r="A23" s="119">
        <v>17</v>
      </c>
      <c r="B23" s="120" t="s">
        <v>39</v>
      </c>
      <c r="C23" s="117" t="s">
        <v>35</v>
      </c>
      <c r="D23" s="119">
        <v>0</v>
      </c>
      <c r="E23" s="120">
        <v>17500</v>
      </c>
      <c r="F23" s="121">
        <f>+'M.Sc I &amp; II '!M30</f>
        <v>17500</v>
      </c>
      <c r="G23" s="120">
        <f>+'M.Sc I &amp; II '!L30</f>
        <v>17500</v>
      </c>
      <c r="H23" s="120">
        <f t="shared" si="0"/>
        <v>0</v>
      </c>
    </row>
    <row r="24" spans="1:9" ht="18" customHeight="1" x14ac:dyDescent="0.3">
      <c r="A24" s="139">
        <v>18</v>
      </c>
      <c r="B24" s="120" t="s">
        <v>39</v>
      </c>
      <c r="C24" s="117" t="s">
        <v>34</v>
      </c>
      <c r="D24" s="119">
        <v>0</v>
      </c>
      <c r="E24" s="120">
        <v>14500</v>
      </c>
      <c r="F24" s="121">
        <f>+'M.Sc I &amp; II  (B)'!M30</f>
        <v>16000</v>
      </c>
      <c r="G24" s="120">
        <f>+'M.Sc I &amp; II  (B)'!L30</f>
        <v>7000</v>
      </c>
      <c r="H24" s="120">
        <f t="shared" si="0"/>
        <v>9000</v>
      </c>
    </row>
    <row r="25" spans="1:9" ht="18" customHeight="1" x14ac:dyDescent="0.3">
      <c r="A25" s="42">
        <v>19</v>
      </c>
      <c r="B25" s="43" t="s">
        <v>23</v>
      </c>
      <c r="C25" s="44"/>
      <c r="D25" s="21">
        <v>61</v>
      </c>
      <c r="E25" s="60">
        <v>0</v>
      </c>
      <c r="F25" s="58">
        <f>+'Temporary Adm'!J740</f>
        <v>121750</v>
      </c>
      <c r="G25" s="149">
        <f>+'Temporary Adm'!I740</f>
        <v>118450</v>
      </c>
      <c r="H25" s="150">
        <f>+F25-G25</f>
        <v>3300</v>
      </c>
    </row>
    <row r="26" spans="1:9" ht="15.6" x14ac:dyDescent="0.3">
      <c r="A26" s="400" t="s">
        <v>17</v>
      </c>
      <c r="B26" s="401"/>
      <c r="C26" s="402"/>
      <c r="D26" s="45">
        <f t="shared" ref="D26:G26" si="1">SUM(D7:D25)</f>
        <v>62</v>
      </c>
      <c r="E26" s="45"/>
      <c r="F26" s="45">
        <f>SUM(F7:F25)</f>
        <v>1940250</v>
      </c>
      <c r="G26" s="45">
        <f t="shared" si="1"/>
        <v>1286950</v>
      </c>
      <c r="H26" s="45">
        <f>SUM(H7:H25)</f>
        <v>653300</v>
      </c>
    </row>
    <row r="31" spans="1:9" ht="15" customHeight="1" x14ac:dyDescent="0.3">
      <c r="A31" s="452" t="s">
        <v>54</v>
      </c>
      <c r="B31" s="453"/>
      <c r="C31" s="454"/>
      <c r="D31" s="461" t="s">
        <v>58</v>
      </c>
      <c r="E31" s="461" t="s">
        <v>59</v>
      </c>
      <c r="F31" s="461" t="s">
        <v>60</v>
      </c>
      <c r="G31" s="464" t="s">
        <v>61</v>
      </c>
      <c r="H31" s="461" t="s">
        <v>62</v>
      </c>
      <c r="I31" s="448" t="s">
        <v>63</v>
      </c>
    </row>
    <row r="32" spans="1:9" x14ac:dyDescent="0.3">
      <c r="A32" s="455"/>
      <c r="B32" s="456"/>
      <c r="C32" s="457"/>
      <c r="D32" s="462"/>
      <c r="E32" s="462"/>
      <c r="F32" s="462"/>
      <c r="G32" s="465"/>
      <c r="H32" s="462"/>
      <c r="I32" s="449"/>
    </row>
    <row r="33" spans="1:9" x14ac:dyDescent="0.3">
      <c r="A33" s="455"/>
      <c r="B33" s="456"/>
      <c r="C33" s="457"/>
      <c r="D33" s="462"/>
      <c r="E33" s="462"/>
      <c r="F33" s="462"/>
      <c r="G33" s="465"/>
      <c r="H33" s="462"/>
      <c r="I33" s="449"/>
    </row>
    <row r="34" spans="1:9" x14ac:dyDescent="0.3">
      <c r="A34" s="458"/>
      <c r="B34" s="459"/>
      <c r="C34" s="460"/>
      <c r="D34" s="463"/>
      <c r="E34" s="463"/>
      <c r="F34" s="463"/>
      <c r="G34" s="466"/>
      <c r="H34" s="463"/>
      <c r="I34" s="450"/>
    </row>
    <row r="35" spans="1:9" ht="15.6" x14ac:dyDescent="0.3">
      <c r="A35" s="451" t="s">
        <v>55</v>
      </c>
      <c r="B35" s="451"/>
      <c r="C35" s="451"/>
      <c r="D35" s="160">
        <f>+F26</f>
        <v>1940250</v>
      </c>
      <c r="E35" s="161">
        <v>181500</v>
      </c>
      <c r="F35" s="161">
        <v>176800</v>
      </c>
      <c r="G35" s="161">
        <f>+D35+E35+F35</f>
        <v>2298550</v>
      </c>
      <c r="H35" s="161">
        <f>+G26</f>
        <v>1286950</v>
      </c>
      <c r="I35" s="161">
        <f>G35-H35</f>
        <v>1011600</v>
      </c>
    </row>
    <row r="36" spans="1:9" ht="15.6" x14ac:dyDescent="0.3">
      <c r="A36" s="451" t="s">
        <v>56</v>
      </c>
      <c r="B36" s="451"/>
      <c r="C36" s="451"/>
      <c r="D36" s="160">
        <v>0</v>
      </c>
      <c r="E36" s="161">
        <v>0</v>
      </c>
      <c r="F36" s="161">
        <v>0</v>
      </c>
      <c r="G36" s="161">
        <v>0</v>
      </c>
      <c r="H36" s="161">
        <v>0</v>
      </c>
      <c r="I36" s="161">
        <v>0</v>
      </c>
    </row>
    <row r="37" spans="1:9" ht="15.6" x14ac:dyDescent="0.3">
      <c r="A37" s="451" t="s">
        <v>57</v>
      </c>
      <c r="B37" s="451"/>
      <c r="C37" s="451"/>
      <c r="D37" s="162">
        <f>D35-D36</f>
        <v>1940250</v>
      </c>
      <c r="E37" s="162">
        <f>SUM(E35:E36)</f>
        <v>181500</v>
      </c>
      <c r="F37" s="162">
        <f>SUM(F35:F36)</f>
        <v>176800</v>
      </c>
      <c r="G37" s="162">
        <f>SUM(G35:G36)</f>
        <v>2298550</v>
      </c>
      <c r="H37" s="162">
        <f>H35-H36</f>
        <v>1286950</v>
      </c>
      <c r="I37" s="162">
        <f>I35-I36</f>
        <v>1011600</v>
      </c>
    </row>
    <row r="39" spans="1:9" ht="15.6" x14ac:dyDescent="0.3">
      <c r="A39" s="163" t="s">
        <v>68</v>
      </c>
      <c r="B39" s="164"/>
      <c r="C39" s="164"/>
      <c r="D39" s="165"/>
      <c r="E39" s="165">
        <f>+D37</f>
        <v>1940250</v>
      </c>
    </row>
    <row r="40" spans="1:9" ht="15.6" x14ac:dyDescent="0.3">
      <c r="A40" s="166"/>
      <c r="B40" s="164"/>
      <c r="C40" s="164"/>
      <c r="D40" s="165"/>
      <c r="E40" s="165"/>
    </row>
    <row r="41" spans="1:9" ht="15.6" x14ac:dyDescent="0.3">
      <c r="A41" s="163" t="s">
        <v>69</v>
      </c>
      <c r="B41" s="164"/>
      <c r="C41" s="164"/>
      <c r="D41" s="165"/>
      <c r="E41" s="165">
        <f>+E37</f>
        <v>181500</v>
      </c>
    </row>
    <row r="42" spans="1:9" ht="15.6" x14ac:dyDescent="0.3">
      <c r="A42" s="163"/>
      <c r="B42" s="164"/>
      <c r="C42" s="164"/>
      <c r="D42" s="165"/>
      <c r="E42" s="165"/>
    </row>
    <row r="43" spans="1:9" ht="15.6" x14ac:dyDescent="0.3">
      <c r="A43" s="163" t="s">
        <v>64</v>
      </c>
      <c r="B43" s="164"/>
      <c r="C43" s="164"/>
      <c r="D43" s="165"/>
      <c r="E43" s="165">
        <f>+F35</f>
        <v>176800</v>
      </c>
    </row>
    <row r="44" spans="1:9" ht="15.6" x14ac:dyDescent="0.3">
      <c r="A44" s="166"/>
      <c r="B44" s="164"/>
      <c r="C44" s="164"/>
      <c r="D44" s="165"/>
      <c r="E44" s="165"/>
    </row>
    <row r="45" spans="1:9" ht="16.2" thickBot="1" x14ac:dyDescent="0.35">
      <c r="A45" s="166" t="s">
        <v>65</v>
      </c>
      <c r="B45" s="164"/>
      <c r="C45" s="164"/>
      <c r="D45" s="165"/>
      <c r="E45" s="167">
        <f>+G37</f>
        <v>2298550</v>
      </c>
    </row>
    <row r="46" spans="1:9" ht="16.2" thickTop="1" x14ac:dyDescent="0.3">
      <c r="A46" s="166"/>
      <c r="B46" s="164"/>
      <c r="C46" s="164"/>
      <c r="D46" s="168"/>
      <c r="E46" s="168"/>
    </row>
    <row r="47" spans="1:9" ht="15.6" x14ac:dyDescent="0.3">
      <c r="A47" s="166" t="s">
        <v>66</v>
      </c>
      <c r="B47" s="164"/>
      <c r="C47" s="164"/>
      <c r="D47" s="165"/>
      <c r="E47" s="165">
        <f>+H37</f>
        <v>1286950</v>
      </c>
    </row>
    <row r="48" spans="1:9" ht="15.6" x14ac:dyDescent="0.3">
      <c r="A48" s="166"/>
      <c r="B48" s="164"/>
      <c r="C48" s="164"/>
      <c r="D48" s="165"/>
      <c r="E48" s="165"/>
    </row>
    <row r="49" spans="1:5" ht="15.6" x14ac:dyDescent="0.3">
      <c r="A49" s="164" t="s">
        <v>67</v>
      </c>
      <c r="B49" s="164"/>
      <c r="C49" s="164"/>
      <c r="D49" s="169"/>
      <c r="E49" s="169">
        <f>E45-E47</f>
        <v>1011600</v>
      </c>
    </row>
  </sheetData>
  <mergeCells count="15">
    <mergeCell ref="I31:I34"/>
    <mergeCell ref="A35:C35"/>
    <mergeCell ref="A36:C36"/>
    <mergeCell ref="A37:C37"/>
    <mergeCell ref="A1:H1"/>
    <mergeCell ref="A2:H2"/>
    <mergeCell ref="A3:H3"/>
    <mergeCell ref="A4:H4"/>
    <mergeCell ref="A26:C26"/>
    <mergeCell ref="A31:C34"/>
    <mergeCell ref="D31:D34"/>
    <mergeCell ref="E31:E34"/>
    <mergeCell ref="F31:F34"/>
    <mergeCell ref="G31:G34"/>
    <mergeCell ref="H31:H3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Genera A</vt:lpstr>
      <vt:lpstr>Individual Register 2025-2026</vt:lpstr>
      <vt:lpstr>D.Pharm  (A)</vt:lpstr>
      <vt:lpstr>D.Pharm (B)</vt:lpstr>
      <vt:lpstr>B.Pharm I</vt:lpstr>
      <vt:lpstr>B.Pharm I (B)</vt:lpstr>
      <vt:lpstr>B.Pharm II</vt:lpstr>
      <vt:lpstr>B.Pharm II (B)</vt:lpstr>
      <vt:lpstr>B.Pharm III</vt:lpstr>
      <vt:lpstr>B.Pharm III (B)</vt:lpstr>
      <vt:lpstr>B.Pharm IV</vt:lpstr>
      <vt:lpstr>B.Pharm IV (B)</vt:lpstr>
      <vt:lpstr>Summary</vt:lpstr>
      <vt:lpstr>M.Pharm I &amp; II</vt:lpstr>
      <vt:lpstr>M.Pharm I &amp; II (B)</vt:lpstr>
      <vt:lpstr>B.Ed I &amp; II</vt:lpstr>
      <vt:lpstr>B.Ed I &amp; II (B)</vt:lpstr>
      <vt:lpstr>M.Sc I &amp; II </vt:lpstr>
      <vt:lpstr>M.Sc I &amp; II  (B)</vt:lpstr>
      <vt:lpstr>Temporary Adm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2025-11-14T12:47:49Z</dcterms:modified>
</cp:coreProperties>
</file>